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geBinder at a glance" sheetId="1" state="visible" r:id="rId3"/>
    <sheet name="Comparison" sheetId="2" state="visible" r:id="rId4"/>
    <sheet name="Summary" sheetId="3" state="visible" r:id="rId5"/>
    <sheet name="Sources" sheetId="4" state="visible" r:id="rId6"/>
  </sheets>
  <definedNames>
    <definedName function="false" hidden="true" localSheetId="1" name="_xlnm._FilterDatabase" vbProcedure="false">Comparison!$A$4:$Q$72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<sst xmlns="http://schemas.openxmlformats.org/spreadsheetml/2006/main" count="964" uniqueCount="406">
  <si>
    <t xml:space="preserve">PageBinder at a glance</t>
  </si>
  <si>
    <t xml:space="preserve">Quick reference drawn from the Comparison sheet by formula: each list below updates if a cell there changes. It shows where PageBinder differs from the other eleven programs, in both directions, and what everyone shares. It is not a ranking.</t>
  </si>
  <si>
    <t xml:space="preserve">PageBinder's answer</t>
  </si>
  <si>
    <t xml:space="preserve">Only PageBinder has these</t>
  </si>
  <si>
    <t xml:space="preserve">PageBinder and just one other program</t>
  </si>
  <si>
    <t xml:space="preserve">PageBinder and a few others (a third or fewer)</t>
  </si>
  <si>
    <t xml:space="preserve">Most other programs have these; PageBinder does not</t>
  </si>
  <si>
    <t xml:space="preserve">Every other program has these; PageBinder does not</t>
  </si>
  <si>
    <t xml:space="preserve">Every program has these</t>
  </si>
  <si>
    <t xml:space="preserve">Each list has room for ten features. If a count in the coloured header is higher than ten, see the Pattern filter on the Comparison sheet for the rest.</t>
  </si>
  <si>
    <t xml:space="preserve">Note-taking programs compared, feature by feature</t>
  </si>
  <si>
    <t xml:space="preserve">Checked 25 September 2026 against each project's README, documentation, or website (see the Sources sheet). Cells start with Yes, No, Partial, Plugin, Paid, N/A, or Not stated so the two grey columns can count them. A trailing * marks an entry from general knowledge of the project rather than a page read on that date: verify it before relying on it.</t>
  </si>
  <si>
    <t xml:space="preserve">Feature</t>
  </si>
  <si>
    <t xml:space="preserve">PageBinder</t>
  </si>
  <si>
    <t xml:space="preserve">Joplin</t>
  </si>
  <si>
    <t xml:space="preserve">Obsidian</t>
  </si>
  <si>
    <t xml:space="preserve">Logseq</t>
  </si>
  <si>
    <t xml:space="preserve">Trilium Notes</t>
  </si>
  <si>
    <t xml:space="preserve">SiYuan</t>
  </si>
  <si>
    <t xml:space="preserve">AFFiNE</t>
  </si>
  <si>
    <t xml:space="preserve">AppFlowy</t>
  </si>
  <si>
    <t xml:space="preserve">Anytype</t>
  </si>
  <si>
    <t xml:space="preserve">Notesnook</t>
  </si>
  <si>
    <t xml:space="preserve">Zim Desktop Wiki</t>
  </si>
  <si>
    <t xml:space="preserve">Xournal++</t>
  </si>
  <si>
    <t xml:space="preserve">Programs answering Yes (of 12)</t>
  </si>
  <si>
    <t xml:space="preserve">Pattern</t>
  </si>
  <si>
    <t xml:space="preserve">What the row means</t>
  </si>
  <si>
    <t xml:space="preserve">Category</t>
  </si>
  <si>
    <t xml:space="preserve"># Only PageBinder</t>
  </si>
  <si>
    <t xml:space="preserve"># PageBinder and one other</t>
  </si>
  <si>
    <t xml:space="preserve"># PageBinder and a few others</t>
  </si>
  <si>
    <t xml:space="preserve"># Most others, not PageBinder</t>
  </si>
  <si>
    <t xml:space="preserve"># All except PageBinder</t>
  </si>
  <si>
    <t xml:space="preserve"># Shared by all</t>
  </si>
  <si>
    <t xml:space="preserve">Basics</t>
  </si>
  <si>
    <t xml:space="preserve">Typical fit (neutral description)</t>
  </si>
  <si>
    <t xml:space="preserve">Printable documents with large attachments, kept as plain folders on your own disk</t>
  </si>
  <si>
    <t xml:space="preserve">Markdown notes synced across many devices</t>
  </si>
  <si>
    <t xml:space="preserve">Linked Markdown knowledge base with a large plugin ecosystem</t>
  </si>
  <si>
    <t xml:space="preserve">Outliner and daily journal with backlinks and whiteboards</t>
  </si>
  <si>
    <t xml:space="preserve">Deep hierarchical knowledge base, self-hosted sync</t>
  </si>
  <si>
    <t xml:space="preserve">Block-based knowledge base kept on your own device</t>
  </si>
  <si>
    <t xml:space="preserve">Documents plus whiteboard, built for collaboration</t>
  </si>
  <si>
    <t xml:space="preserve">Notion-style workspace with databases, self-hostable</t>
  </si>
  <si>
    <t xml:space="preserve">Encrypted object-based workspace with peer-to-peer sync</t>
  </si>
  <si>
    <t xml:space="preserve">Encrypted notes synced through the vendor's service</t>
  </si>
  <si>
    <t xml:space="preserve">Plain-text desktop wiki</t>
  </si>
  <si>
    <t xml:space="preserve">Handwritten notes and PDF annotation on paper-like pages</t>
  </si>
  <si>
    <t xml:space="preserve">One-line description of what each program is designed around.</t>
  </si>
  <si>
    <t xml:space="preserve">Licence</t>
  </si>
  <si>
    <t xml:space="preserve">MIT (open source)</t>
  </si>
  <si>
    <t xml:space="preserve">AGPL-3.0</t>
  </si>
  <si>
    <t xml:space="preserve">Proprietary (closed source; free for personal and commercial use)</t>
  </si>
  <si>
    <t xml:space="preserve">MIT (community edition)</t>
  </si>
  <si>
    <t xml:space="preserve">Any Source Available License 1.0 (source available, not OSI open source)</t>
  </si>
  <si>
    <t xml:space="preserve">GPL-3.0</t>
  </si>
  <si>
    <t xml:space="preserve">GPL-2.0 or later</t>
  </si>
  <si>
    <t xml:space="preserve">GPL-2.0</t>
  </si>
  <si>
    <t xml:space="preserve">Obsidian's code is not open; GitHub hosts its releases and plugins only.</t>
  </si>
  <si>
    <t xml:space="preserve">Price</t>
  </si>
  <si>
    <t xml:space="preserve">Free</t>
  </si>
  <si>
    <t xml:space="preserve">Free; Joplin Cloud sync is paid</t>
  </si>
  <si>
    <t xml:space="preserve">Free; Sync and Publish add-ons are paid</t>
  </si>
  <si>
    <t xml:space="preserve">Free; Logseq Sync is paid</t>
  </si>
  <si>
    <t xml:space="preserve">Free locally; PRO tier for cloud and third-party sync</t>
  </si>
  <si>
    <t xml:space="preserve">Free locally; cloud plans are paid</t>
  </si>
  <si>
    <t xml:space="preserve">Free; Pro plans for cloud features</t>
  </si>
  <si>
    <t xml:space="preserve">Free (Explorer); paid tiers</t>
  </si>
  <si>
    <t xml:space="preserve">Free; paid plans add attachment storage</t>
  </si>
  <si>
    <t xml:space="preserve">Desktop platforms</t>
  </si>
  <si>
    <t xml:space="preserve">macOS, Windows (Linux builds from source, untested)</t>
  </si>
  <si>
    <t xml:space="preserve">Windows, macOS, Linux</t>
  </si>
  <si>
    <t xml:space="preserve">Windows, macOS, Linux, plus self-hosted web app</t>
  </si>
  <si>
    <t xml:space="preserve">Windows, macOS, Linux, plus Docker server</t>
  </si>
  <si>
    <t xml:space="preserve">Windows, macOS, Linux, plus web</t>
  </si>
  <si>
    <t xml:space="preserve">Linux, Windows, macOS</t>
  </si>
  <si>
    <t xml:space="preserve">Linux, macOS, Windows, ChromeOS</t>
  </si>
  <si>
    <t xml:space="preserve">Mobile apps</t>
  </si>
  <si>
    <t xml:space="preserve">No</t>
  </si>
  <si>
    <t xml:space="preserve">Yes: iOS, Android</t>
  </si>
  <si>
    <t xml:space="preserve">Partial: web layout; third-party apps</t>
  </si>
  <si>
    <t xml:space="preserve">Yes: iOS, Android, HarmonyOS</t>
  </si>
  <si>
    <t xml:space="preserve">Yes: iOS, Android (capture and review; whiteboard is desktop)</t>
  </si>
  <si>
    <t xml:space="preserve">Partial: Android build, limited *</t>
  </si>
  <si>
    <t xml:space="preserve">No account needed</t>
  </si>
  <si>
    <t xml:space="preserve">Yes</t>
  </si>
  <si>
    <t xml:space="preserve">Yes (account only for Joplin Cloud)</t>
  </si>
  <si>
    <t xml:space="preserve">Yes (account only for Sync and Publish)</t>
  </si>
  <si>
    <t xml:space="preserve">Yes (account only for Logseq Sync)</t>
  </si>
  <si>
    <t xml:space="preserve">Yes (account only for cloud sync)</t>
  </si>
  <si>
    <t xml:space="preserve">Yes for local workspaces</t>
  </si>
  <si>
    <t xml:space="preserve">Yes for local use *</t>
  </si>
  <si>
    <t xml:space="preserve">Yes: a vault key instead of an email account</t>
  </si>
  <si>
    <t xml:space="preserve">No: an email account is required</t>
  </si>
  <si>
    <t xml:space="preserve">Works fully offline</t>
  </si>
  <si>
    <t xml:space="preserve">Yes (local workspaces)</t>
  </si>
  <si>
    <t xml:space="preserve">Yes (offline mode)</t>
  </si>
  <si>
    <t xml:space="preserve">Yes, after signing in *</t>
  </si>
  <si>
    <t xml:space="preserve">Shared by every program in the table.</t>
  </si>
  <si>
    <t xml:space="preserve">Where your notes live</t>
  </si>
  <si>
    <t xml:space="preserve">How notes are stored</t>
  </si>
  <si>
    <t xml:space="preserve">Plain folders and files: notebook, section, and page folders with page.json and page.html</t>
  </si>
  <si>
    <t xml:space="preserve">SQLite database plus a resources folder (Markdown inside)</t>
  </si>
  <si>
    <t xml:space="preserve">Plain Markdown files in a vault folder</t>
  </si>
  <si>
    <t xml:space="preserve">Plain Markdown or Org files in a graph folder</t>
  </si>
  <si>
    <t xml:space="preserve">One SQLite database file</t>
  </si>
  <si>
    <t xml:space="preserve">Workspace folder of JSON (.sy) files plus an assets folder</t>
  </si>
  <si>
    <t xml:space="preserve">Local database per workspace (exportable as .affine)</t>
  </si>
  <si>
    <t xml:space="preserve">Local database; cloud or self-hosted server for sync</t>
  </si>
  <si>
    <t xml:space="preserve">Local encrypted database</t>
  </si>
  <si>
    <t xml:space="preserve">Local encrypted database, synced to the vendor's servers</t>
  </si>
  <si>
    <t xml:space="preserve">Plain text files in a folder tree</t>
  </si>
  <si>
    <t xml:space="preserve">One .xopp file (compressed XML) per document</t>
  </si>
  <si>
    <t xml:space="preserve">Folder tree on disk mirrors the app's hierarchy</t>
  </si>
  <si>
    <t xml:space="preserve">Partial: flat pages folder; hierarchy by page names</t>
  </si>
  <si>
    <t xml:space="preserve">Yes: notebook folders with nested document files</t>
  </si>
  <si>
    <t xml:space="preserve">N/A: documents are separate files</t>
  </si>
  <si>
    <t xml:space="preserve">Notes readable without the app</t>
  </si>
  <si>
    <t xml:space="preserve">Yes: every page keeps a page.html copy that opens in any browser</t>
  </si>
  <si>
    <t xml:space="preserve">Partial: Markdown inside a database; export first</t>
  </si>
  <si>
    <t xml:space="preserve">Yes: Markdown</t>
  </si>
  <si>
    <t xml:space="preserve">Yes: Markdown or Org</t>
  </si>
  <si>
    <t xml:space="preserve">No: database; export first</t>
  </si>
  <si>
    <t xml:space="preserve">Partial: JSON files; export for readable copies</t>
  </si>
  <si>
    <t xml:space="preserve">No: export first</t>
  </si>
  <si>
    <t xml:space="preserve">No: encrypted; export first</t>
  </si>
  <si>
    <t xml:space="preserve">Yes: plain text</t>
  </si>
  <si>
    <t xml:space="preserve">No: export to PDF first</t>
  </si>
  <si>
    <t xml:space="preserve">Attachments kept beside the note as ordinary files</t>
  </si>
  <si>
    <t xml:space="preserve">Yes: in the page's own attachments folder, original name shown</t>
  </si>
  <si>
    <t xml:space="preserve">Partial: resources folder, files renamed by ID</t>
  </si>
  <si>
    <t xml:space="preserve">Yes: assets folder</t>
  </si>
  <si>
    <t xml:space="preserve">No: stored inside the database</t>
  </si>
  <si>
    <t xml:space="preserve">Yes: assets folder, files renamed *</t>
  </si>
  <si>
    <t xml:space="preserve">Yes: attachment folder per page</t>
  </si>
  <si>
    <t xml:space="preserve">Large attachments (videos, scans) with no size limit</t>
  </si>
  <si>
    <t xml:space="preserve">Yes: no limit beyond disk space; designed for 500 GB notebooks</t>
  </si>
  <si>
    <t xml:space="preserve">Yes locally; sync targets impose their own limits</t>
  </si>
  <si>
    <t xml:space="preserve">Partial: stored in the database; large files discouraged *</t>
  </si>
  <si>
    <t xml:space="preserve">Partial: cloud plans have storage limits</t>
  </si>
  <si>
    <t xml:space="preserve">Partial: cloud plans have storage limits *</t>
  </si>
  <si>
    <t xml:space="preserve">Partial: storage tiers *</t>
  </si>
  <si>
    <t xml:space="preserve">No: 10 MB per file on the free plan; larger on paid plans</t>
  </si>
  <si>
    <t xml:space="preserve">No: not designed for attachments</t>
  </si>
  <si>
    <t xml:space="preserve">Back up by copying a folder with any tool</t>
  </si>
  <si>
    <t xml:space="preserve">Yes: copy the notebook folder (leave out the .index cache)</t>
  </si>
  <si>
    <t xml:space="preserve">Partial: copy the profile folder while closed, or export JEX</t>
  </si>
  <si>
    <t xml:space="preserve">Partial: one database file; built-in backups</t>
  </si>
  <si>
    <t xml:space="preserve">Yes: copy the workspace folder</t>
  </si>
  <si>
    <t xml:space="preserve">No: export the workspace instead</t>
  </si>
  <si>
    <t xml:space="preserve">No: export instead</t>
  </si>
  <si>
    <t xml:space="preserve">Notebook made on a Mac opens on Windows unchanged</t>
  </si>
  <si>
    <t xml:space="preserve">Yes: verified automatically on every release</t>
  </si>
  <si>
    <t xml:space="preserve">Yes *</t>
  </si>
  <si>
    <t xml:space="preserve">Yes via sync</t>
  </si>
  <si>
    <t xml:space="preserve">Organising</t>
  </si>
  <si>
    <t xml:space="preserve">Hierarchy</t>
  </si>
  <si>
    <t xml:space="preserve">Notebook &gt; section group &gt; section &gt; page (OneNote style)</t>
  </si>
  <si>
    <t xml:space="preserve">Nested notebooks &gt; notes</t>
  </si>
  <si>
    <t xml:space="preserve">Folders &gt; Markdown files</t>
  </si>
  <si>
    <t xml:space="preserve">Flat pages with namespaces; daily journal</t>
  </si>
  <si>
    <t xml:space="preserve">Tree of unlimited depth; a note can appear in several places</t>
  </si>
  <si>
    <t xml:space="preserve">Notebooks &gt; nested documents</t>
  </si>
  <si>
    <t xml:space="preserve">Docs and collections</t>
  </si>
  <si>
    <t xml:space="preserve">Nested pages</t>
  </si>
  <si>
    <t xml:space="preserve">Objects with types, sets, and collections</t>
  </si>
  <si>
    <t xml:space="preserve">Notebooks &gt; sub-notebooks &gt; notes</t>
  </si>
  <si>
    <t xml:space="preserve">Page tree</t>
  </si>
  <si>
    <t xml:space="preserve">Separate documents, each of many pages</t>
  </si>
  <si>
    <t xml:space="preserve">Tags</t>
  </si>
  <si>
    <t xml:space="preserve">Yes (labels and attributes)</t>
  </si>
  <si>
    <t xml:space="preserve">Partial *</t>
  </si>
  <si>
    <t xml:space="preserve">Yes (relations)</t>
  </si>
  <si>
    <t xml:space="preserve">Links between pages with backlinks</t>
  </si>
  <si>
    <t xml:space="preserve">Partial: links; backlinks via plugin</t>
  </si>
  <si>
    <t xml:space="preserve">Partial: mentions *</t>
  </si>
  <si>
    <t xml:space="preserve">Partial: internal links *</t>
  </si>
  <si>
    <t xml:space="preserve">Graph view of links</t>
  </si>
  <si>
    <t xml:space="preserve">Plugin</t>
  </si>
  <si>
    <t xml:space="preserve">Yes (note map)</t>
  </si>
  <si>
    <t xml:space="preserve">Outliner (every paragraph is a block)</t>
  </si>
  <si>
    <t xml:space="preserve">Partial: block editor</t>
  </si>
  <si>
    <t xml:space="preserve">Editing the page</t>
  </si>
  <si>
    <t xml:space="preserve">Freeform canvas: place items anywhere on the page</t>
  </si>
  <si>
    <t xml:space="preserve">Yes: every page is a canvas</t>
  </si>
  <si>
    <t xml:space="preserve">Partial: separate Canvas files</t>
  </si>
  <si>
    <t xml:space="preserve">Partial: separate Whiteboards</t>
  </si>
  <si>
    <t xml:space="preserve">Partial: separate Canvas note type</t>
  </si>
  <si>
    <t xml:space="preserve">Yes: edgeless mode on any doc</t>
  </si>
  <si>
    <t xml:space="preserve">Yes: paper-like pages</t>
  </si>
  <si>
    <t xml:space="preserve">Editing style</t>
  </si>
  <si>
    <t xml:space="preserve">Rich text (what you see is what you print)</t>
  </si>
  <si>
    <t xml:space="preserve">Markdown, plus a rich text editor</t>
  </si>
  <si>
    <t xml:space="preserve">Markdown with live preview</t>
  </si>
  <si>
    <t xml:space="preserve">Markdown or Org outliner</t>
  </si>
  <si>
    <t xml:space="preserve">Rich text (CKEditor) and code notes</t>
  </si>
  <si>
    <t xml:space="preserve">Block editor (Markdown-like, WYSIWYG)</t>
  </si>
  <si>
    <t xml:space="preserve">Block editor</t>
  </si>
  <si>
    <t xml:space="preserve">Rich text</t>
  </si>
  <si>
    <t xml:space="preserve">Wiki text with formatting shown</t>
  </si>
  <si>
    <t xml:space="preserve">Handwriting plus text boxes</t>
  </si>
  <si>
    <t xml:space="preserve">Tables</t>
  </si>
  <si>
    <t xml:space="preserve">Partial: Markdown tables</t>
  </si>
  <si>
    <t xml:space="preserve">Plugin (Table Editor)</t>
  </si>
  <si>
    <t xml:space="preserve">Table cell colours and per-side borders</t>
  </si>
  <si>
    <t xml:space="preserve">Yes: fill, row height, column width, borders per cell</t>
  </si>
  <si>
    <t xml:space="preserve">Partial: rich text editor only *</t>
  </si>
  <si>
    <t xml:space="preserve">No *</t>
  </si>
  <si>
    <t xml:space="preserve">Partial: cell background *</t>
  </si>
  <si>
    <t xml:space="preserve">N/A</t>
  </si>
  <si>
    <t xml:space="preserve">Pictures on the page</t>
  </si>
  <si>
    <t xml:space="preserve">To-do checkboxes</t>
  </si>
  <si>
    <t xml:space="preserve">Shapes and drawing (lines, arrows, boxes)</t>
  </si>
  <si>
    <t xml:space="preserve">Yes: lines, arrows, rectangles, ellipses</t>
  </si>
  <si>
    <t xml:space="preserve">Partial: freehand drawing on mobile; plugin on desktop</t>
  </si>
  <si>
    <t xml:space="preserve">Partial: Canvas; Excalidraw plugin</t>
  </si>
  <si>
    <t xml:space="preserve">Yes: whiteboards</t>
  </si>
  <si>
    <t xml:space="preserve">Yes: canvas notes (Excalidraw)</t>
  </si>
  <si>
    <t xml:space="preserve">Yes: edgeless mode</t>
  </si>
  <si>
    <t xml:space="preserve">Handwriting with a stylus</t>
  </si>
  <si>
    <t xml:space="preserve">Partial: mobile drawing</t>
  </si>
  <si>
    <t xml:space="preserve">Partial: whiteboards</t>
  </si>
  <si>
    <t xml:space="preserve">Yes: canvas notes</t>
  </si>
  <si>
    <t xml:space="preserve">Yes: pen in edgeless mode</t>
  </si>
  <si>
    <t xml:space="preserve">Yes: pressure-sensitive pens, the core purpose</t>
  </si>
  <si>
    <t xml:space="preserve">Math formulas</t>
  </si>
  <si>
    <t xml:space="preserve">Yes (KaTeX)</t>
  </si>
  <si>
    <t xml:space="preserve">Yes (LaTeX tool)</t>
  </si>
  <si>
    <t xml:space="preserve">Code blocks with highlighting</t>
  </si>
  <si>
    <t xml:space="preserve">Templates for new pages</t>
  </si>
  <si>
    <t xml:space="preserve">Yes: per notebook and global; edited in place as pages</t>
  </si>
  <si>
    <t xml:space="preserve">Yes (page templates)</t>
  </si>
  <si>
    <t xml:space="preserve">Saved emails show sender, subject, and date and are searchable</t>
  </si>
  <si>
    <t xml:space="preserve">Yes: .eml and .msg files</t>
  </si>
  <si>
    <t xml:space="preserve">An email dropped into the other programs is stored as an ordinary file.</t>
  </si>
  <si>
    <t xml:space="preserve">Insert an attached PDF's pages as a printout on the page</t>
  </si>
  <si>
    <t xml:space="preserve">Partial: embedded PDF viewer</t>
  </si>
  <si>
    <t xml:space="preserve">Partial: PDF viewer for annotation</t>
  </si>
  <si>
    <t xml:space="preserve">Partial: PDF preview</t>
  </si>
  <si>
    <t xml:space="preserve">Partial: PDF embed *</t>
  </si>
  <si>
    <t xml:space="preserve">Yes: PDF as page background</t>
  </si>
  <si>
    <t xml:space="preserve">Printing and export</t>
  </si>
  <si>
    <t xml:space="preserve">Pages laid out on real sheets, with the page border and margins visible while editing</t>
  </si>
  <si>
    <t xml:space="preserve">Paper size and orientation per page or notebook (Letter, A4, Tabloid, ...)</t>
  </si>
  <si>
    <t xml:space="preserve">Partial: chosen in the print dialog</t>
  </si>
  <si>
    <t xml:space="preserve">Partial: chosen at PDF export (presets)</t>
  </si>
  <si>
    <t xml:space="preserve">Partial: chosen at PDF export *</t>
  </si>
  <si>
    <t xml:space="preserve">Partial: chosen at export *</t>
  </si>
  <si>
    <t xml:space="preserve">Partial: print dialog *</t>
  </si>
  <si>
    <t xml:space="preserve">No: prints through a browser</t>
  </si>
  <si>
    <t xml:space="preserve">Print preview</t>
  </si>
  <si>
    <t xml:space="preserve">Partial: system print dialog</t>
  </si>
  <si>
    <t xml:space="preserve">Partial: system print dialog *</t>
  </si>
  <si>
    <t xml:space="preserve">Partial: browser preview</t>
  </si>
  <si>
    <t xml:space="preserve">Export to PDF</t>
  </si>
  <si>
    <t xml:space="preserve">Yes: a page, section, group, or whole notebook as one PDF</t>
  </si>
  <si>
    <t xml:space="preserve">Yes (per note)</t>
  </si>
  <si>
    <t xml:space="preserve">Yes (desktop app)</t>
  </si>
  <si>
    <t xml:space="preserve">Yes (per page)</t>
  </si>
  <si>
    <t xml:space="preserve">No: Markdown export *</t>
  </si>
  <si>
    <t xml:space="preserve">Yes (single note on desktop)</t>
  </si>
  <si>
    <t xml:space="preserve">No: print from a browser</t>
  </si>
  <si>
    <t xml:space="preserve">Export to HTML</t>
  </si>
  <si>
    <t xml:space="preserve">Yes, and every page always keeps page.html</t>
  </si>
  <si>
    <t xml:space="preserve">Yes (public pages)</t>
  </si>
  <si>
    <t xml:space="preserve">No (SVG, PNG, PDF)</t>
  </si>
  <si>
    <t xml:space="preserve">Export to Markdown</t>
  </si>
  <si>
    <t xml:space="preserve">Yes (native format)</t>
  </si>
  <si>
    <t xml:space="preserve">Print a whole section or notebook as one document</t>
  </si>
  <si>
    <t xml:space="preserve">Partial: one PDF per note</t>
  </si>
  <si>
    <t xml:space="preserve">Partial: subtree as HTML or zip</t>
  </si>
  <si>
    <t xml:space="preserve">Partial: zip of files; PDF per note</t>
  </si>
  <si>
    <t xml:space="preserve">Partial: export all pages to one HTML file</t>
  </si>
  <si>
    <t xml:space="preserve">Yes: a document holds many pages</t>
  </si>
  <si>
    <t xml:space="preserve">Search</t>
  </si>
  <si>
    <t xml:space="preserve">Full-text search</t>
  </si>
  <si>
    <t xml:space="preserve">Partial: within one document</t>
  </si>
  <si>
    <t xml:space="preserve">Shared by every program, in one form or another.</t>
  </si>
  <si>
    <t xml:space="preserve">Results appear as you type</t>
  </si>
  <si>
    <t xml:space="preserve">Partial: search dialog</t>
  </si>
  <si>
    <t xml:space="preserve">Partial</t>
  </si>
  <si>
    <t xml:space="preserve">Searches inside attachments</t>
  </si>
  <si>
    <t xml:space="preserve">Partial: saved emails and PDF printouts (not plain attachments)</t>
  </si>
  <si>
    <t xml:space="preserve">Yes: OCR of images and PDFs *</t>
  </si>
  <si>
    <t xml:space="preserve">Partial: PDF highlights</t>
  </si>
  <si>
    <t xml:space="preserve">Partial: asset content search *</t>
  </si>
  <si>
    <t xml:space="preserve">Published results at very large size</t>
  </si>
  <si>
    <t xml:space="preserve">Yes: 50,000 pages measured; type-ahead in milliseconds</t>
  </si>
  <si>
    <t xml:space="preserve">Not stated</t>
  </si>
  <si>
    <t xml:space="preserve">Not stated (large vaults common)</t>
  </si>
  <si>
    <t xml:space="preserve">Yes: 'upwards of 100,000 notes'</t>
  </si>
  <si>
    <t xml:space="preserve">Yes: 'million-word' documents</t>
  </si>
  <si>
    <t xml:space="preserve">Keeping notes safe</t>
  </si>
  <si>
    <t xml:space="preserve">Saves automatically</t>
  </si>
  <si>
    <t xml:space="preserve">Partial: autosave option</t>
  </si>
  <si>
    <t xml:space="preserve">Version history of each page, kept locally</t>
  </si>
  <si>
    <t xml:space="preserve">Yes: every save kept, thinned over time; preview, restore, or copy any version</t>
  </si>
  <si>
    <t xml:space="preserve">Yes: 90 days by default; viewing on desktop</t>
  </si>
  <si>
    <t xml:space="preserve">Partial: File recovery snapshots for 7 days; one year with paid Sync</t>
  </si>
  <si>
    <t xml:space="preserve">Yes: page history and git auto-commit on desktop</t>
  </si>
  <si>
    <t xml:space="preserve">Yes: note revisions</t>
  </si>
  <si>
    <t xml:space="preserve">Yes: data history snapshots</t>
  </si>
  <si>
    <t xml:space="preserve">Partial: page history on paid cloud workspaces</t>
  </si>
  <si>
    <t xml:space="preserve">Yes: local only, cleared on logout</t>
  </si>
  <si>
    <t xml:space="preserve">Plugin: version control (git, bzr, hg)</t>
  </si>
  <si>
    <t xml:space="preserve">Recycle bin for deleted pages</t>
  </si>
  <si>
    <t xml:space="preserve">Yes: 30 days</t>
  </si>
  <si>
    <t xml:space="preserve">Partial: system trash or vault .trash folder</t>
  </si>
  <si>
    <t xml:space="preserve">Partial: revisions and recent changes</t>
  </si>
  <si>
    <t xml:space="preserve">Yes: data history</t>
  </si>
  <si>
    <t xml:space="preserve">Detects a damaged page and restores the last good version automatically</t>
  </si>
  <si>
    <t xml:space="preserve">Yes: every page is checksummed and checked on open</t>
  </si>
  <si>
    <t xml:space="preserve">Verify-and-repair tool for a whole notebook</t>
  </si>
  <si>
    <t xml:space="preserve">Sync and collaboration</t>
  </si>
  <si>
    <t xml:space="preserve">Built-in sync between devices</t>
  </si>
  <si>
    <t xml:space="preserve">No: copy the folder, or use any file-sync tool</t>
  </si>
  <si>
    <t xml:space="preserve">Yes: Nextcloud, Dropbox, OneDrive, WebDAV, Joplin Cloud</t>
  </si>
  <si>
    <t xml:space="preserve">Paid: Obsidian Sync; or any file-sync tool</t>
  </si>
  <si>
    <t xml:space="preserve">Paid: Logseq Sync; or git and file-sync tools</t>
  </si>
  <si>
    <t xml:space="preserve">Yes: self-hosted sync server</t>
  </si>
  <si>
    <t xml:space="preserve">Paid: cloud, or S3/WebDAV with PRO</t>
  </si>
  <si>
    <t xml:space="preserve">Yes: AFFiNE Cloud or self-hosted</t>
  </si>
  <si>
    <t xml:space="preserve">Yes: AppFlowy Cloud or self-hosted</t>
  </si>
  <si>
    <t xml:space="preserve">Yes: peer-to-peer network, self-hostable</t>
  </si>
  <si>
    <t xml:space="preserve">Yes: vendor servers</t>
  </si>
  <si>
    <t xml:space="preserve">No: any file-sync tool</t>
  </si>
  <si>
    <t xml:space="preserve">End-to-end encrypted sync</t>
  </si>
  <si>
    <t xml:space="preserve">Yes (optional)</t>
  </si>
  <si>
    <t xml:space="preserve">No: protected notes are encrypted; transport uses TLS</t>
  </si>
  <si>
    <t xml:space="preserve">Real-time collaboration</t>
  </si>
  <si>
    <t xml:space="preserve">Partial: shared notebooks via Joplin Cloud, not live</t>
  </si>
  <si>
    <t xml:space="preserve">Partial: live collaboration in alpha</t>
  </si>
  <si>
    <t xml:space="preserve">Partial: multi-user server, not live editing</t>
  </si>
  <si>
    <t xml:space="preserve">Yes: multiplayer spaces</t>
  </si>
  <si>
    <t xml:space="preserve">Notes encrypted on disk</t>
  </si>
  <si>
    <t xml:space="preserve">Partial: protected notes</t>
  </si>
  <si>
    <t xml:space="preserve">Self-hosted server option</t>
  </si>
  <si>
    <t xml:space="preserve">N/A: no server needed</t>
  </si>
  <si>
    <t xml:space="preserve">Yes (Joplin Server)</t>
  </si>
  <si>
    <t xml:space="preserve">Yes (Docker)</t>
  </si>
  <si>
    <t xml:space="preserve">Partial: in progress</t>
  </si>
  <si>
    <t xml:space="preserve">Getting notes in and out</t>
  </si>
  <si>
    <t xml:space="preserve">Import from OneNote</t>
  </si>
  <si>
    <t xml:space="preserve">No (a separate helper tool is in development)</t>
  </si>
  <si>
    <t xml:space="preserve">Yes (importer)</t>
  </si>
  <si>
    <t xml:space="preserve">Import from Evernote</t>
  </si>
  <si>
    <t xml:space="preserve">Import Markdown files</t>
  </si>
  <si>
    <t xml:space="preserve">Yes (native)</t>
  </si>
  <si>
    <t xml:space="preserve">Plugins or extensions</t>
  </si>
  <si>
    <t xml:space="preserve">Yes (thousands)</t>
  </si>
  <si>
    <t xml:space="preserve">Yes (scripting and widgets)</t>
  </si>
  <si>
    <t xml:space="preserve">Yes (marketplace)</t>
  </si>
  <si>
    <t xml:space="preserve">Partial: announced</t>
  </si>
  <si>
    <t xml:space="preserve">Partial: API</t>
  </si>
  <si>
    <t xml:space="preserve">Yes (Lua)</t>
  </si>
  <si>
    <t xml:space="preserve">Web clipper</t>
  </si>
  <si>
    <t xml:space="preserve">Partial: community *</t>
  </si>
  <si>
    <t xml:space="preserve">AI features built in</t>
  </si>
  <si>
    <t xml:space="preserve">No (plugins)</t>
  </si>
  <si>
    <t xml:space="preserve">Partial: agent API</t>
  </si>
  <si>
    <t xml:space="preserve">How to read the comparison</t>
  </si>
  <si>
    <t xml:space="preserve">The Comparison sheet has one row per feature and one column per program. PageBinder is the first column so its differences are easy to see, but every program is described the same way and none is scored.</t>
  </si>
  <si>
    <t xml:space="preserve">Green cells start with Yes, amber with Partial, Plugin, or Paid, red with No, grey with N/A or Not stated. The Pattern column reads the whole row: 'Only PageBinder' means no other program answers Yes; 'All except PageBinder' means PageBinder is the only one that does not; 'Shared by all' means everyone answers Yes.</t>
  </si>
  <si>
    <t xml:space="preserve">Use the filter on the Pattern column to see just the differences, or on the Category column to see one topic. The counts below are formulas over the Comparison sheet and update if a cell is changed.</t>
  </si>
  <si>
    <t xml:space="preserve">Pick by need, not by count: a program with fewer Yes answers may fit better. For example, someone who wants encrypted sync across phones has different needs from someone who wants printable records with large attachments on a NAS.</t>
  </si>
  <si>
    <t xml:space="preserve">Where the programs differ</t>
  </si>
  <si>
    <t xml:space="preserve">Features only PageBinder has</t>
  </si>
  <si>
    <t xml:space="preserve">Features PageBinder shares with just one other program</t>
  </si>
  <si>
    <t xml:space="preserve">Features PageBinder has and a few others share</t>
  </si>
  <si>
    <t xml:space="preserve">Features every other program has and PageBinder lacks</t>
  </si>
  <si>
    <t xml:space="preserve">Features most other programs have and PageBinder lacks</t>
  </si>
  <si>
    <t xml:space="preserve">Features shared by every program</t>
  </si>
  <si>
    <t xml:space="preserve">Yes answers by category (a count of rows answered Yes, not a score)</t>
  </si>
  <si>
    <t xml:space="preserve">Rows in category</t>
  </si>
  <si>
    <t xml:space="preserve">All categories</t>
  </si>
  <si>
    <t xml:space="preserve">Category header rows on the Comparison sheet carry the category name too, so each 'Rows in category' count subtracts one.</t>
  </si>
  <si>
    <t xml:space="preserve">Sources checked on 25 September 2026</t>
  </si>
  <si>
    <t xml:space="preserve">Each program's facts were read from the pages below. Where a page could not be reached, the entry says so, and the Comparison cells that rely on general knowledge of that project carry a trailing *. Projects change: re-check before relying on any entry for a decision.</t>
  </si>
  <si>
    <t xml:space="preserve">Program</t>
  </si>
  <si>
    <t xml:space="preserve">Pages read</t>
  </si>
  <si>
    <t xml:space="preserve">What was taken from them</t>
  </si>
  <si>
    <t xml:space="preserve">https://github.com/PageBinder/PageBinder (README, docs/PROGRAM_OVERVIEW.md, docs/dev/PROGRAM_DESCRIPTION.md, test results in the repository's workflow runs)</t>
  </si>
  <si>
    <t xml:space="preserve">Read directly; features listed only if built and tested.</t>
  </si>
  <si>
    <t xml:space="preserve">https://github.com/laurent22/joplin; https://joplinapp.org/help/; https://joplinapp.org/help/apps/note_history; https://joplinapp.org/help/apps/import_export; LICENSE file (AGPL-3.0-or-later)</t>
  </si>
  <si>
    <t xml:space="preserve">Note history (90 days), import (Evernote, Markdown, OneNote) and export (JEX, HTML, PDF) confirmed. OCR of attachments from general knowledge (*).</t>
  </si>
  <si>
    <t xml:space="preserve">https://obsidian.md/; https://obsidian.md/help/plugins/file-recovery; forum and plugin pages on PDF export options</t>
  </si>
  <si>
    <t xml:space="preserve">Closed source; free for personal and commercial use; File recovery 7 days; Sync version history one year. PDF export page sizes and margin presets from forum answers.</t>
  </si>
  <si>
    <t xml:space="preserve">https://github.com/logseq/logseq; https://en.wikipedia.org/wiki/Logseq; https://blog.logseq.com/whiteboards-and-queries-for-everybody/; https://blog.logseq.com/how-to-setup-and-use-logseq-sync/; Logseq forum threads on PDF export</t>
  </si>
  <si>
    <t xml:space="preserve">AGPL-3.0; whiteboards for everyone; Logseq Sync paid and end-to-end encrypted; no built-in PDF export (community plugins); git auto-commit.</t>
  </si>
  <si>
    <t xml:space="preserve">https://github.com/TriliumNext/Trilium; https://github.com/zadam/trilium/wiki; https://docs.triliumnotes.org/user-guide/concepts/notes/printing-and-pdf-export; canvas note docs</t>
  </si>
  <si>
    <t xml:space="preserve">AGPL-3.0; tree of unlimited depth; note revisions; protected notes; self-hosted sync; 'upwards of 100,000 notes'; PDF export on desktop; Evernote, Markdown, and OneNote import.</t>
  </si>
  <si>
    <t xml:space="preserve">https://github.com/siyuan-note/siyuan; https://b3log.org/siyuan/en/; https://b3log.org/siyuan/en/pricing.html; https://github.com/siyuan-note/siyuan/issues/5331</t>
  </si>
  <si>
    <t xml:space="preserve">AGPL-3.0; .sy JSON files in a workspace folder; end-to-end encrypted sync and S3/WebDAV sync need the paid tier; export PDF, Word, HTML, Markdown.</t>
  </si>
  <si>
    <t xml:space="preserve">https://github.com/toeverything/AFFiNE; https://docs.affine.pro/core-concepts/elements-of-affine/workspaces; https://affine.pro/download; community answers on export</t>
  </si>
  <si>
    <t xml:space="preserve">MIT community edition; local and cloud workspaces; page history on paid cloud workspaces; export PDF, HTML, Markdown per page; iOS and Android apps. The affine.pro home page could not be fetched.</t>
  </si>
  <si>
    <t xml:space="preserve">https://github.com/AppFlowy-IO/AppFlowy; https://appflowy.com/; https://docs.appflowy.io/docs; https://docs.appflowy.io/docs/guides/import-from-notion</t>
  </si>
  <si>
    <t xml:space="preserve">AGPL-3.0; desktop, mobile, and web; self-hosting; real-time co-editing; Markdown export; Notion import. Version history not documented; several cells marked *.</t>
  </si>
  <si>
    <t xml:space="preserve">https://github.com/anyproto/anytype-ts; https://anytype.io/</t>
  </si>
  <si>
    <t xml:space="preserve">Any Source Available License 1.0; vault key instead of an email account; end-to-end encryption; peer-to-peer and self-hosted sync; multiplayer spaces; version history; PDF export; imports from Notion, Markdown, Evernote, HTML, CSV.</t>
  </si>
  <si>
    <t xml:space="preserve">https://github.com/streetwriters/notesnook; https://notesnook.com/; https://notesnook.com/help/plans-and-limits; https://notesnook.com/help/export-notes-from-notesnook; https://notesnook.com/help/note-version-history</t>
  </si>
  <si>
    <t xml:space="preserve">GPL-3.0; account required; free plan 50 MB attachments a month and 10 MB per file; export PDF (single note on desktop), Markdown, HTML, text; local version history cleared on logout; self-hosting in progress.</t>
  </si>
  <si>
    <t xml:space="preserve">https://zim-wiki.org/; https://zim-wiki.org/manual/Help/Export.html; https://zim-wiki.org/manual/Plugins/Print_to_Browser.html</t>
  </si>
  <si>
    <t xml:space="preserve">Plain text files; export HTML, LaTeX, Markdown, RST for a page or the whole notebook; printing through a browser; plugins for tables, equations, version control. Licence and platforms from general knowledge (*).</t>
  </si>
  <si>
    <t xml:space="preserve">https://github.com/xournalpp/xournalpp</t>
  </si>
  <si>
    <t xml:space="preserve">GPL-2.0; handwriting with pressure-sensitive pens; page templates and paper backgrounds; shapes; LaTeX; audio; .xopp files; export PDF, SVG, PNG; Lua plugins.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</si>
</sst>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color rgb="FF555555"/>
      <name val="Arial"/>
      <family val="0"/>
      <charset val="1"/>
    </font>
    <font>
      <b val="true"/>
      <sz val="10"/>
      <name val="Arial"/>
      <family val="0"/>
      <charset val="1"/>
    </font>
    <font>
      <b val="true"/>
      <sz val="11"/>
      <name val="Arial"/>
      <family val="0"/>
      <charset val="1"/>
    </font>
    <font>
      <sz val="10"/>
      <name val="Arial"/>
      <family val="0"/>
      <charset val="1"/>
    </font>
    <font>
      <b val="true"/>
      <sz val="10"/>
      <color rgb="FFFFFFFF"/>
      <name val="Arial"/>
      <family val="0"/>
      <charset val="1"/>
    </font>
    <font>
      <b val="true"/>
      <sz val="11"/>
      <color rgb="FFFFFFFF"/>
      <name val="Arial"/>
      <family val="0"/>
      <charset val="1"/>
    </font>
    <font>
      <b val="true"/>
      <sz val="12"/>
      <name val="Arial"/>
      <family val="0"/>
      <charset val="1"/>
    </font>
  </fonts>
  <fills count="10">
    <fill>
      <patternFill patternType="none"/>
    </fill>
    <fill>
      <patternFill patternType="gray125"/>
    </fill>
    <fill>
      <patternFill patternType="solid">
        <fgColor rgb="FFB6D7A8"/>
        <bgColor rgb="FFBFBFBF"/>
      </patternFill>
    </fill>
    <fill>
      <patternFill patternType="solid">
        <fgColor rgb="FFD9EAD3"/>
        <bgColor rgb="FFCFE2F3"/>
      </patternFill>
    </fill>
    <fill>
      <patternFill patternType="solid">
        <fgColor rgb="FFEA9999"/>
        <bgColor rgb="FFFF8080"/>
      </patternFill>
    </fill>
    <fill>
      <patternFill patternType="solid">
        <fgColor rgb="FFCFE2F3"/>
        <bgColor rgb="FFD9EAD3"/>
      </patternFill>
    </fill>
    <fill>
      <patternFill patternType="solid">
        <fgColor rgb="FF1F3864"/>
        <bgColor rgb="FF4A4A4A"/>
      </patternFill>
    </fill>
    <fill>
      <patternFill patternType="solid">
        <fgColor rgb="FF2E5C8A"/>
        <bgColor rgb="FF555555"/>
      </patternFill>
    </fill>
    <fill>
      <patternFill patternType="solid">
        <fgColor rgb="FF4A4A4A"/>
        <bgColor rgb="FF555555"/>
      </patternFill>
    </fill>
    <fill>
      <patternFill patternType="solid">
        <fgColor rgb="FFEDEDED"/>
        <bgColor rgb="FFEFEF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top" textRotation="0" wrapText="tru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top" textRotation="0" wrapText="true" indent="0" shrinkToFit="false"/>
      <protection locked="true" hidden="false"/>
    </xf>
    <xf numFmtId="164" fontId="7" fillId="5" borderId="0"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10" fillId="8"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9" borderId="0" xfId="0" applyFont="true" applyBorder="false" applyAlignment="true" applyProtection="false">
      <alignment horizontal="center" vertical="top" textRotation="0" wrapText="tru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center" vertical="top" textRotation="0" wrapText="true" indent="0" shrinkToFit="false"/>
      <protection locked="true" hidden="false"/>
    </xf>
    <xf numFmtId="164" fontId="9" fillId="6" borderId="0" xfId="0" applyFont="true" applyBorder="fals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center" vertical="top" textRotation="0" wrapText="true" indent="0" shrinkToFit="false"/>
      <protection locked="true" hidden="false"/>
    </xf>
    <xf numFmtId="164" fontId="6" fillId="9" borderId="0" xfId="0" applyFont="true" applyBorder="false" applyAlignment="true" applyProtection="false">
      <alignment horizontal="center" vertical="top" textRotation="0" wrapText="tru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1F3864"/>
          <bgColor rgb="FF000000"/>
        </patternFill>
      </fill>
    </dxf>
    <dxf>
      <fill>
        <patternFill patternType="solid">
          <fgColor rgb="FF4A4A4A"/>
          <bgColor rgb="FF000000"/>
        </patternFill>
      </fill>
    </dxf>
    <dxf>
      <fill>
        <patternFill patternType="solid">
          <bgColor rgb="FF000000"/>
        </patternFill>
      </fill>
    </dxf>
    <dxf>
      <fill>
        <patternFill patternType="solid">
          <fgColor rgb="FFFFFFFF"/>
          <bgColor rgb="FF000000"/>
        </patternFill>
      </fill>
    </dxf>
    <dxf>
      <fill>
        <patternFill patternType="solid">
          <fgColor rgb="FF2E5C8A"/>
          <bgColor rgb="FF000000"/>
        </patternFill>
      </fill>
    </dxf>
    <dxf>
      <fill>
        <patternFill patternType="solid">
          <fgColor rgb="FFD9EAD3"/>
          <bgColor rgb="FF000000"/>
        </patternFill>
      </fill>
    </dxf>
    <dxf>
      <fill>
        <patternFill patternType="solid">
          <fgColor rgb="FFEFEFEF"/>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EDEDED"/>
          <bgColor rgb="FF000000"/>
        </patternFill>
      </fill>
    </dxf>
    <dxf>
      <fill>
        <patternFill patternType="solid">
          <fgColor rgb="FFB6D7A8"/>
          <bgColor rgb="FF000000"/>
        </patternFill>
      </fill>
    </dxf>
    <dxf>
      <fill>
        <patternFill patternType="solid">
          <fgColor rgb="FFCFE2F3"/>
          <bgColor rgb="FF000000"/>
        </patternFill>
      </fill>
    </dxf>
    <dxf>
      <fill>
        <patternFill patternType="solid">
          <fgColor rgb="FFEA9999"/>
          <bgColor rgb="FF000000"/>
        </patternFill>
      </fill>
    </dxf>
    <dxf>
      <fill>
        <patternFill patternType="solid">
          <fgColor rgb="FF555555"/>
          <bgColor rgb="FF000000"/>
        </patternFill>
      </fill>
    </dxf>
    <dxf>
      <fill>
        <patternFill>
          <bgColor rgb="FFD9EAD3"/>
        </patternFill>
      </fill>
    </dxf>
    <dxf>
      <fill>
        <patternFill>
          <bgColor rgb="FFFFF2CC"/>
        </patternFill>
      </fill>
    </dxf>
    <dxf>
      <fill>
        <patternFill>
          <bgColor rgb="FFF4CCCC"/>
        </patternFill>
      </fill>
    </dxf>
    <dxf>
      <fill>
        <patternFill>
          <bgColor rgb="FFEFEFEF"/>
        </patternFill>
      </fill>
    </dxf>
    <dxf>
      <font>
        <name val="Arial"/>
        <charset val="1"/>
        <family val="0"/>
        <b val="1"/>
        <sz val="10"/>
      </font>
      <fill>
        <patternFill>
          <bgColor rgb="FFB6D7A8"/>
        </patternFill>
      </fill>
    </dxf>
    <dxf>
      <font>
        <name val="Arial"/>
        <charset val="1"/>
        <family val="0"/>
        <b val="1"/>
        <sz val="10"/>
      </font>
      <fill>
        <patternFill>
          <bgColor rgb="FFEA9999"/>
        </patternFill>
      </fill>
    </dxf>
    <dxf>
      <font>
        <name val="Arial"/>
        <charset val="1"/>
        <family val="0"/>
        <b val="1"/>
        <sz val="10"/>
      </font>
      <fill>
        <patternFill>
          <bgColor rgb="FFCFE2F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FEFE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EDEDED"/>
      <rgbColor rgb="FFD9EAD3"/>
      <rgbColor rgb="FFFFFF99"/>
      <rgbColor rgb="FFB6D7A8"/>
      <rgbColor rgb="FFEA9999"/>
      <rgbColor rgb="FFCC99FF"/>
      <rgbColor rgb="FFF4CCCC"/>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2E5C8A"/>
      <rgbColor rgb="FF4A4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20"/>
    <col collapsed="false" customWidth="true" hidden="false" outlineLevel="0" max="4" min="4" style="0" width="44"/>
  </cols>
  <sheetData>
    <row r="1" customFormat="false" ht="19.7" hidden="false" customHeight="false" outlineLevel="0" collapsed="false">
      <c r="A1" s="1" t="s">
        <v>0</v>
      </c>
    </row>
    <row r="2" customFormat="false" ht="39.75" hidden="false" customHeight="true" outlineLevel="0" collapsed="false">
      <c r="A2" s="2" t="s">
        <v>1</v>
      </c>
      <c r="B2" s="2"/>
      <c r="C2" s="2"/>
      <c r="D2" s="2"/>
    </row>
    <row r="3" customFormat="false" ht="15" hidden="false" customHeight="false" outlineLevel="0" collapsed="false">
      <c r="D3" s="3" t="s">
        <v>2</v>
      </c>
    </row>
    <row r="4" customFormat="false" ht="15" hidden="false" customHeight="false" outlineLevel="0" collapsed="false">
      <c r="A4" s="4" t="s">
        <v>3</v>
      </c>
      <c r="B4" s="4"/>
      <c r="C4" s="4"/>
      <c r="D4" s="5" t="n">
        <f aca="false">COUNTIF(Comparison!$O$5:$O$72,"Only PageBinder")</f>
        <v>4</v>
      </c>
    </row>
    <row r="5" customFormat="false" ht="15" hidden="false" customHeight="false" outlineLevel="0" collapsed="false">
      <c r="A5" s="6" t="str">
        <f aca="false">IFERROR(INDEX(Comparison!$A$5:$A$72,MATCH(1,Comparison!$R$5:$R$72,0)),"")</f>
        <v>Saved emails show sender, subject, and date and are searchable</v>
      </c>
      <c r="B5" s="6"/>
      <c r="C5" s="6"/>
      <c r="D5" s="7" t="str">
        <f aca="false">IFERROR(INDEX(Comparison!$B$5:$B$72,MATCH(1,Comparison!$R$5:$R$72,0)),"")</f>
        <v>Yes: .eml and .msg files</v>
      </c>
    </row>
    <row r="6" customFormat="false" ht="15" hidden="false" customHeight="false" outlineLevel="0" collapsed="false">
      <c r="A6" s="6" t="str">
        <f aca="false">IFERROR(INDEX(Comparison!$A$5:$A$72,MATCH(2,Comparison!$R$5:$R$72,0)),"")</f>
        <v>Print preview</v>
      </c>
      <c r="B6" s="6"/>
      <c r="C6" s="6"/>
      <c r="D6" s="7" t="str">
        <f aca="false">IFERROR(INDEX(Comparison!$B$5:$B$72,MATCH(2,Comparison!$R$5:$R$72,0)),"")</f>
        <v>Yes</v>
      </c>
    </row>
    <row r="7" customFormat="false" ht="23.85" hidden="false" customHeight="false" outlineLevel="0" collapsed="false">
      <c r="A7" s="6" t="str">
        <f aca="false">IFERROR(INDEX(Comparison!$A$5:$A$72,MATCH(3,Comparison!$R$5:$R$72,0)),"")</f>
        <v>Detects a damaged page and restores the last good version automatically</v>
      </c>
      <c r="B7" s="6"/>
      <c r="C7" s="6"/>
      <c r="D7" s="7" t="str">
        <f aca="false">IFERROR(INDEX(Comparison!$B$5:$B$72,MATCH(3,Comparison!$R$5:$R$72,0)),"")</f>
        <v>Yes: every page is checksummed and checked on open</v>
      </c>
    </row>
    <row r="8" customFormat="false" ht="15" hidden="false" customHeight="false" outlineLevel="0" collapsed="false">
      <c r="A8" s="6" t="str">
        <f aca="false">IFERROR(INDEX(Comparison!$A$5:$A$72,MATCH(4,Comparison!$R$5:$R$72,0)),"")</f>
        <v>Verify-and-repair tool for a whole notebook</v>
      </c>
      <c r="B8" s="6"/>
      <c r="C8" s="6"/>
      <c r="D8" s="7" t="str">
        <f aca="false">IFERROR(INDEX(Comparison!$B$5:$B$72,MATCH(4,Comparison!$R$5:$R$72,0)),"")</f>
        <v>Yes</v>
      </c>
    </row>
    <row r="9" customFormat="false" ht="15" hidden="false" customHeight="false" outlineLevel="0" collapsed="false">
      <c r="A9" s="6" t="str">
        <f aca="false">IFERROR(INDEX(Comparison!$A$5:$A$72,MATCH(5,Comparison!$R$5:$R$72,0)),"")</f>
        <v/>
      </c>
      <c r="B9" s="6"/>
      <c r="C9" s="6"/>
      <c r="D9" s="7" t="str">
        <f aca="false">IFERROR(INDEX(Comparison!$B$5:$B$72,MATCH(5,Comparison!$R$5:$R$72,0)),"")</f>
        <v/>
      </c>
    </row>
    <row r="10" customFormat="false" ht="15" hidden="false" customHeight="false" outlineLevel="0" collapsed="false">
      <c r="A10" s="6" t="str">
        <f aca="false">IFERROR(INDEX(Comparison!$A$5:$A$72,MATCH(6,Comparison!$R$5:$R$72,0)),"")</f>
        <v/>
      </c>
      <c r="B10" s="6"/>
      <c r="C10" s="6"/>
      <c r="D10" s="7" t="str">
        <f aca="false">IFERROR(INDEX(Comparison!$B$5:$B$72,MATCH(6,Comparison!$R$5:$R$72,0)),"")</f>
        <v/>
      </c>
    </row>
    <row r="11" customFormat="false" ht="15" hidden="false" customHeight="false" outlineLevel="0" collapsed="false">
      <c r="A11" s="6" t="str">
        <f aca="false">IFERROR(INDEX(Comparison!$A$5:$A$72,MATCH(7,Comparison!$R$5:$R$72,0)),"")</f>
        <v/>
      </c>
      <c r="B11" s="6"/>
      <c r="C11" s="6"/>
      <c r="D11" s="7" t="str">
        <f aca="false">IFERROR(INDEX(Comparison!$B$5:$B$72,MATCH(7,Comparison!$R$5:$R$72,0)),"")</f>
        <v/>
      </c>
    </row>
    <row r="12" customFormat="false" ht="15" hidden="false" customHeight="false" outlineLevel="0" collapsed="false">
      <c r="A12" s="6" t="str">
        <f aca="false">IFERROR(INDEX(Comparison!$A$5:$A$72,MATCH(8,Comparison!$R$5:$R$72,0)),"")</f>
        <v/>
      </c>
      <c r="B12" s="6"/>
      <c r="C12" s="6"/>
      <c r="D12" s="7" t="str">
        <f aca="false">IFERROR(INDEX(Comparison!$B$5:$B$72,MATCH(8,Comparison!$R$5:$R$72,0)),"")</f>
        <v/>
      </c>
    </row>
    <row r="13" customFormat="false" ht="15" hidden="false" customHeight="false" outlineLevel="0" collapsed="false">
      <c r="A13" s="6" t="str">
        <f aca="false">IFERROR(INDEX(Comparison!$A$5:$A$72,MATCH(9,Comparison!$R$5:$R$72,0)),"")</f>
        <v/>
      </c>
      <c r="B13" s="6"/>
      <c r="C13" s="6"/>
      <c r="D13" s="7" t="str">
        <f aca="false">IFERROR(INDEX(Comparison!$B$5:$B$72,MATCH(9,Comparison!$R$5:$R$72,0)),"")</f>
        <v/>
      </c>
    </row>
    <row r="14" customFormat="false" ht="15" hidden="false" customHeight="false" outlineLevel="0" collapsed="false">
      <c r="A14" s="6" t="str">
        <f aca="false">IFERROR(INDEX(Comparison!$A$5:$A$72,MATCH(10,Comparison!$R$5:$R$72,0)),"")</f>
        <v/>
      </c>
      <c r="B14" s="6"/>
      <c r="C14" s="6"/>
      <c r="D14" s="7" t="str">
        <f aca="false">IFERROR(INDEX(Comparison!$B$5:$B$72,MATCH(10,Comparison!$R$5:$R$72,0)),"")</f>
        <v/>
      </c>
    </row>
    <row r="16" customFormat="false" ht="15" hidden="false" customHeight="false" outlineLevel="0" collapsed="false">
      <c r="A16" s="8" t="s">
        <v>4</v>
      </c>
      <c r="B16" s="8"/>
      <c r="C16" s="8"/>
      <c r="D16" s="9" t="n">
        <f aca="false">COUNTIF(Comparison!$O$5:$O$72,"PageBinder and one other")</f>
        <v>5</v>
      </c>
    </row>
    <row r="17" customFormat="false" ht="15" hidden="false" customHeight="false" outlineLevel="0" collapsed="false">
      <c r="A17" s="6" t="str">
        <f aca="false">IFERROR(INDEX(Comparison!$A$5:$A$72,MATCH(1,Comparison!$S$5:$S$72,0)),"")</f>
        <v>Table cell colours and per-side borders</v>
      </c>
      <c r="B17" s="6"/>
      <c r="C17" s="6"/>
      <c r="D17" s="7" t="str">
        <f aca="false">IFERROR(INDEX(Comparison!$B$5:$B$72,MATCH(1,Comparison!$S$5:$S$72,0)),"")</f>
        <v>Yes: fill, row height, column width, borders per cell</v>
      </c>
    </row>
    <row r="18" customFormat="false" ht="15" hidden="false" customHeight="false" outlineLevel="0" collapsed="false">
      <c r="A18" s="6" t="str">
        <f aca="false">IFERROR(INDEX(Comparison!$A$5:$A$72,MATCH(2,Comparison!$S$5:$S$72,0)),"")</f>
        <v>Insert an attached PDF's pages as a printout on the page</v>
      </c>
      <c r="B18" s="6"/>
      <c r="C18" s="6"/>
      <c r="D18" s="7" t="str">
        <f aca="false">IFERROR(INDEX(Comparison!$B$5:$B$72,MATCH(2,Comparison!$S$5:$S$72,0)),"")</f>
        <v>Yes</v>
      </c>
    </row>
    <row r="19" customFormat="false" ht="15" hidden="false" customHeight="false" outlineLevel="0" collapsed="false">
      <c r="A19" s="6" t="str">
        <f aca="false">IFERROR(INDEX(Comparison!$A$5:$A$72,MATCH(3,Comparison!$S$5:$S$72,0)),"")</f>
        <v>Pages laid out on real sheets, with the page border and margins visible while editing</v>
      </c>
      <c r="B19" s="6"/>
      <c r="C19" s="6"/>
      <c r="D19" s="7" t="str">
        <f aca="false">IFERROR(INDEX(Comparison!$B$5:$B$72,MATCH(3,Comparison!$S$5:$S$72,0)),"")</f>
        <v>Yes</v>
      </c>
    </row>
    <row r="20" customFormat="false" ht="15" hidden="false" customHeight="false" outlineLevel="0" collapsed="false">
      <c r="A20" s="6" t="str">
        <f aca="false">IFERROR(INDEX(Comparison!$A$5:$A$72,MATCH(4,Comparison!$S$5:$S$72,0)),"")</f>
        <v>Paper size and orientation per page or notebook (Letter, A4, Tabloid, ...)</v>
      </c>
      <c r="B20" s="6"/>
      <c r="C20" s="6"/>
      <c r="D20" s="7" t="str">
        <f aca="false">IFERROR(INDEX(Comparison!$B$5:$B$72,MATCH(4,Comparison!$S$5:$S$72,0)),"")</f>
        <v>Yes</v>
      </c>
    </row>
    <row r="21" customFormat="false" ht="15" hidden="false" customHeight="false" outlineLevel="0" collapsed="false">
      <c r="A21" s="6" t="str">
        <f aca="false">IFERROR(INDEX(Comparison!$A$5:$A$72,MATCH(5,Comparison!$S$5:$S$72,0)),"")</f>
        <v>Print a whole section or notebook as one document</v>
      </c>
      <c r="B21" s="6"/>
      <c r="C21" s="6"/>
      <c r="D21" s="7" t="str">
        <f aca="false">IFERROR(INDEX(Comparison!$B$5:$B$72,MATCH(5,Comparison!$S$5:$S$72,0)),"")</f>
        <v>Yes</v>
      </c>
    </row>
    <row r="22" customFormat="false" ht="15" hidden="false" customHeight="false" outlineLevel="0" collapsed="false">
      <c r="A22" s="6" t="str">
        <f aca="false">IFERROR(INDEX(Comparison!$A$5:$A$72,MATCH(6,Comparison!$S$5:$S$72,0)),"")</f>
        <v/>
      </c>
      <c r="B22" s="6"/>
      <c r="C22" s="6"/>
      <c r="D22" s="7" t="str">
        <f aca="false">IFERROR(INDEX(Comparison!$B$5:$B$72,MATCH(6,Comparison!$S$5:$S$72,0)),"")</f>
        <v/>
      </c>
    </row>
    <row r="23" customFormat="false" ht="15" hidden="false" customHeight="false" outlineLevel="0" collapsed="false">
      <c r="A23" s="6" t="str">
        <f aca="false">IFERROR(INDEX(Comparison!$A$5:$A$72,MATCH(7,Comparison!$S$5:$S$72,0)),"")</f>
        <v/>
      </c>
      <c r="B23" s="6"/>
      <c r="C23" s="6"/>
      <c r="D23" s="7" t="str">
        <f aca="false">IFERROR(INDEX(Comparison!$B$5:$B$72,MATCH(7,Comparison!$S$5:$S$72,0)),"")</f>
        <v/>
      </c>
    </row>
    <row r="24" customFormat="false" ht="15" hidden="false" customHeight="false" outlineLevel="0" collapsed="false">
      <c r="A24" s="6" t="str">
        <f aca="false">IFERROR(INDEX(Comparison!$A$5:$A$72,MATCH(8,Comparison!$S$5:$S$72,0)),"")</f>
        <v/>
      </c>
      <c r="B24" s="6"/>
      <c r="C24" s="6"/>
      <c r="D24" s="7" t="str">
        <f aca="false">IFERROR(INDEX(Comparison!$B$5:$B$72,MATCH(8,Comparison!$S$5:$S$72,0)),"")</f>
        <v/>
      </c>
    </row>
    <row r="25" customFormat="false" ht="15" hidden="false" customHeight="false" outlineLevel="0" collapsed="false">
      <c r="A25" s="6" t="str">
        <f aca="false">IFERROR(INDEX(Comparison!$A$5:$A$72,MATCH(9,Comparison!$S$5:$S$72,0)),"")</f>
        <v/>
      </c>
      <c r="B25" s="6"/>
      <c r="C25" s="6"/>
      <c r="D25" s="7" t="str">
        <f aca="false">IFERROR(INDEX(Comparison!$B$5:$B$72,MATCH(9,Comparison!$S$5:$S$72,0)),"")</f>
        <v/>
      </c>
    </row>
    <row r="26" customFormat="false" ht="15" hidden="false" customHeight="false" outlineLevel="0" collapsed="false">
      <c r="A26" s="6" t="str">
        <f aca="false">IFERROR(INDEX(Comparison!$A$5:$A$72,MATCH(10,Comparison!$S$5:$S$72,0)),"")</f>
        <v/>
      </c>
      <c r="B26" s="6"/>
      <c r="C26" s="6"/>
      <c r="D26" s="7" t="str">
        <f aca="false">IFERROR(INDEX(Comparison!$B$5:$B$72,MATCH(10,Comparison!$S$5:$S$72,0)),"")</f>
        <v/>
      </c>
    </row>
    <row r="28" customFormat="false" ht="15" hidden="false" customHeight="false" outlineLevel="0" collapsed="false">
      <c r="A28" s="8" t="s">
        <v>5</v>
      </c>
      <c r="B28" s="8"/>
      <c r="C28" s="8"/>
      <c r="D28" s="9" t="n">
        <f aca="false">COUNTIF(Comparison!$O$5:$O$72,"PageBinder and a few others")</f>
        <v>4</v>
      </c>
    </row>
    <row r="29" customFormat="false" ht="15" hidden="false" customHeight="false" outlineLevel="0" collapsed="false">
      <c r="A29" s="6" t="str">
        <f aca="false">IFERROR(INDEX(Comparison!$A$5:$A$72,MATCH(1,Comparison!$T$5:$T$72,0)),"")</f>
        <v>Folder tree on disk mirrors the app's hierarchy</v>
      </c>
      <c r="B29" s="6"/>
      <c r="C29" s="6"/>
      <c r="D29" s="7" t="str">
        <f aca="false">IFERROR(INDEX(Comparison!$B$5:$B$72,MATCH(1,Comparison!$T$5:$T$72,0)),"")</f>
        <v>Yes</v>
      </c>
    </row>
    <row r="30" customFormat="false" ht="23.85" hidden="false" customHeight="false" outlineLevel="0" collapsed="false">
      <c r="A30" s="6" t="str">
        <f aca="false">IFERROR(INDEX(Comparison!$A$5:$A$72,MATCH(2,Comparison!$T$5:$T$72,0)),"")</f>
        <v>Notes readable without the app</v>
      </c>
      <c r="B30" s="6"/>
      <c r="C30" s="6"/>
      <c r="D30" s="7" t="str">
        <f aca="false">IFERROR(INDEX(Comparison!$B$5:$B$72,MATCH(2,Comparison!$T$5:$T$72,0)),"")</f>
        <v>Yes: every page keeps a page.html copy that opens in any browser</v>
      </c>
    </row>
    <row r="31" customFormat="false" ht="15" hidden="false" customHeight="false" outlineLevel="0" collapsed="false">
      <c r="A31" s="6" t="str">
        <f aca="false">IFERROR(INDEX(Comparison!$A$5:$A$72,MATCH(3,Comparison!$T$5:$T$72,0)),"")</f>
        <v>Freeform canvas: place items anywhere on the page</v>
      </c>
      <c r="B31" s="6"/>
      <c r="C31" s="6"/>
      <c r="D31" s="7" t="str">
        <f aca="false">IFERROR(INDEX(Comparison!$B$5:$B$72,MATCH(3,Comparison!$T$5:$T$72,0)),"")</f>
        <v>Yes: every page is a canvas</v>
      </c>
    </row>
    <row r="32" customFormat="false" ht="23.85" hidden="false" customHeight="false" outlineLevel="0" collapsed="false">
      <c r="A32" s="6" t="str">
        <f aca="false">IFERROR(INDEX(Comparison!$A$5:$A$72,MATCH(4,Comparison!$T$5:$T$72,0)),"")</f>
        <v>Published results at very large size</v>
      </c>
      <c r="B32" s="6"/>
      <c r="C32" s="6"/>
      <c r="D32" s="7" t="str">
        <f aca="false">IFERROR(INDEX(Comparison!$B$5:$B$72,MATCH(4,Comparison!$T$5:$T$72,0)),"")</f>
        <v>Yes: 50,000 pages measured; type-ahead in milliseconds</v>
      </c>
    </row>
    <row r="33" customFormat="false" ht="15" hidden="false" customHeight="false" outlineLevel="0" collapsed="false">
      <c r="A33" s="6" t="str">
        <f aca="false">IFERROR(INDEX(Comparison!$A$5:$A$72,MATCH(5,Comparison!$T$5:$T$72,0)),"")</f>
        <v/>
      </c>
      <c r="B33" s="6"/>
      <c r="C33" s="6"/>
      <c r="D33" s="7" t="str">
        <f aca="false">IFERROR(INDEX(Comparison!$B$5:$B$72,MATCH(5,Comparison!$T$5:$T$72,0)),"")</f>
        <v/>
      </c>
    </row>
    <row r="34" customFormat="false" ht="15" hidden="false" customHeight="false" outlineLevel="0" collapsed="false">
      <c r="A34" s="6" t="str">
        <f aca="false">IFERROR(INDEX(Comparison!$A$5:$A$72,MATCH(6,Comparison!$T$5:$T$72,0)),"")</f>
        <v/>
      </c>
      <c r="B34" s="6"/>
      <c r="C34" s="6"/>
      <c r="D34" s="7" t="str">
        <f aca="false">IFERROR(INDEX(Comparison!$B$5:$B$72,MATCH(6,Comparison!$T$5:$T$72,0)),"")</f>
        <v/>
      </c>
    </row>
    <row r="35" customFormat="false" ht="15" hidden="false" customHeight="false" outlineLevel="0" collapsed="false">
      <c r="A35" s="6" t="str">
        <f aca="false">IFERROR(INDEX(Comparison!$A$5:$A$72,MATCH(7,Comparison!$T$5:$T$72,0)),"")</f>
        <v/>
      </c>
      <c r="B35" s="6"/>
      <c r="C35" s="6"/>
      <c r="D35" s="7" t="str">
        <f aca="false">IFERROR(INDEX(Comparison!$B$5:$B$72,MATCH(7,Comparison!$T$5:$T$72,0)),"")</f>
        <v/>
      </c>
    </row>
    <row r="36" customFormat="false" ht="15" hidden="false" customHeight="false" outlineLevel="0" collapsed="false">
      <c r="A36" s="6" t="str">
        <f aca="false">IFERROR(INDEX(Comparison!$A$5:$A$72,MATCH(8,Comparison!$T$5:$T$72,0)),"")</f>
        <v/>
      </c>
      <c r="B36" s="6"/>
      <c r="C36" s="6"/>
      <c r="D36" s="7" t="str">
        <f aca="false">IFERROR(INDEX(Comparison!$B$5:$B$72,MATCH(8,Comparison!$T$5:$T$72,0)),"")</f>
        <v/>
      </c>
    </row>
    <row r="37" customFormat="false" ht="15" hidden="false" customHeight="false" outlineLevel="0" collapsed="false">
      <c r="A37" s="6" t="str">
        <f aca="false">IFERROR(INDEX(Comparison!$A$5:$A$72,MATCH(9,Comparison!$T$5:$T$72,0)),"")</f>
        <v/>
      </c>
      <c r="B37" s="6"/>
      <c r="C37" s="6"/>
      <c r="D37" s="7" t="str">
        <f aca="false">IFERROR(INDEX(Comparison!$B$5:$B$72,MATCH(9,Comparison!$T$5:$T$72,0)),"")</f>
        <v/>
      </c>
    </row>
    <row r="38" customFormat="false" ht="15" hidden="false" customHeight="false" outlineLevel="0" collapsed="false">
      <c r="A38" s="6" t="str">
        <f aca="false">IFERROR(INDEX(Comparison!$A$5:$A$72,MATCH(10,Comparison!$T$5:$T$72,0)),"")</f>
        <v/>
      </c>
      <c r="B38" s="6"/>
      <c r="C38" s="6"/>
      <c r="D38" s="7" t="str">
        <f aca="false">IFERROR(INDEX(Comparison!$B$5:$B$72,MATCH(10,Comparison!$T$5:$T$72,0)),"")</f>
        <v/>
      </c>
    </row>
    <row r="40" customFormat="false" ht="15" hidden="false" customHeight="false" outlineLevel="0" collapsed="false">
      <c r="A40" s="10" t="s">
        <v>6</v>
      </c>
      <c r="B40" s="10"/>
      <c r="C40" s="10"/>
      <c r="D40" s="11" t="n">
        <f aca="false">COUNTIF(Comparison!$O$5:$O$72,"Most others, not PageBinder")</f>
        <v>5</v>
      </c>
    </row>
    <row r="41" customFormat="false" ht="15" hidden="false" customHeight="false" outlineLevel="0" collapsed="false">
      <c r="A41" s="6" t="str">
        <f aca="false">IFERROR(INDEX(Comparison!$A$5:$A$72,MATCH(1,Comparison!$U$5:$U$72,0)),"")</f>
        <v>Tags</v>
      </c>
      <c r="B41" s="6"/>
      <c r="C41" s="6"/>
      <c r="D41" s="7" t="str">
        <f aca="false">IFERROR(INDEX(Comparison!$B$5:$B$72,MATCH(1,Comparison!$U$5:$U$72,0)),"")</f>
        <v>No</v>
      </c>
    </row>
    <row r="42" customFormat="false" ht="15" hidden="false" customHeight="false" outlineLevel="0" collapsed="false">
      <c r="A42" s="6" t="str">
        <f aca="false">IFERROR(INDEX(Comparison!$A$5:$A$72,MATCH(2,Comparison!$U$5:$U$72,0)),"")</f>
        <v>Math formulas</v>
      </c>
      <c r="B42" s="6"/>
      <c r="C42" s="6"/>
      <c r="D42" s="7" t="str">
        <f aca="false">IFERROR(INDEX(Comparison!$B$5:$B$72,MATCH(2,Comparison!$U$5:$U$72,0)),"")</f>
        <v>No</v>
      </c>
    </row>
    <row r="43" customFormat="false" ht="15" hidden="false" customHeight="false" outlineLevel="0" collapsed="false">
      <c r="A43" s="6" t="str">
        <f aca="false">IFERROR(INDEX(Comparison!$A$5:$A$72,MATCH(3,Comparison!$U$5:$U$72,0)),"")</f>
        <v>Code blocks with highlighting</v>
      </c>
      <c r="B43" s="6"/>
      <c r="C43" s="6"/>
      <c r="D43" s="7" t="str">
        <f aca="false">IFERROR(INDEX(Comparison!$B$5:$B$72,MATCH(3,Comparison!$U$5:$U$72,0)),"")</f>
        <v>No</v>
      </c>
    </row>
    <row r="44" customFormat="false" ht="15" hidden="false" customHeight="false" outlineLevel="0" collapsed="false">
      <c r="A44" s="6" t="str">
        <f aca="false">IFERROR(INDEX(Comparison!$A$5:$A$72,MATCH(4,Comparison!$U$5:$U$72,0)),"")</f>
        <v>Export to Markdown</v>
      </c>
      <c r="B44" s="6"/>
      <c r="C44" s="6"/>
      <c r="D44" s="7" t="str">
        <f aca="false">IFERROR(INDEX(Comparison!$B$5:$B$72,MATCH(4,Comparison!$U$5:$U$72,0)),"")</f>
        <v>No</v>
      </c>
    </row>
    <row r="45" customFormat="false" ht="15" hidden="false" customHeight="false" outlineLevel="0" collapsed="false">
      <c r="A45" s="6" t="str">
        <f aca="false">IFERROR(INDEX(Comparison!$A$5:$A$72,MATCH(5,Comparison!$U$5:$U$72,0)),"")</f>
        <v>Import Markdown files</v>
      </c>
      <c r="B45" s="6"/>
      <c r="C45" s="6"/>
      <c r="D45" s="7" t="str">
        <f aca="false">IFERROR(INDEX(Comparison!$B$5:$B$72,MATCH(5,Comparison!$U$5:$U$72,0)),"")</f>
        <v>No</v>
      </c>
    </row>
    <row r="46" customFormat="false" ht="15" hidden="false" customHeight="false" outlineLevel="0" collapsed="false">
      <c r="A46" s="6" t="str">
        <f aca="false">IFERROR(INDEX(Comparison!$A$5:$A$72,MATCH(6,Comparison!$U$5:$U$72,0)),"")</f>
        <v/>
      </c>
      <c r="B46" s="6"/>
      <c r="C46" s="6"/>
      <c r="D46" s="7" t="str">
        <f aca="false">IFERROR(INDEX(Comparison!$B$5:$B$72,MATCH(6,Comparison!$U$5:$U$72,0)),"")</f>
        <v/>
      </c>
    </row>
    <row r="47" customFormat="false" ht="15" hidden="false" customHeight="false" outlineLevel="0" collapsed="false">
      <c r="A47" s="6" t="str">
        <f aca="false">IFERROR(INDEX(Comparison!$A$5:$A$72,MATCH(7,Comparison!$U$5:$U$72,0)),"")</f>
        <v/>
      </c>
      <c r="B47" s="6"/>
      <c r="C47" s="6"/>
      <c r="D47" s="7" t="str">
        <f aca="false">IFERROR(INDEX(Comparison!$B$5:$B$72,MATCH(7,Comparison!$U$5:$U$72,0)),"")</f>
        <v/>
      </c>
    </row>
    <row r="48" customFormat="false" ht="15" hidden="false" customHeight="false" outlineLevel="0" collapsed="false">
      <c r="A48" s="6" t="str">
        <f aca="false">IFERROR(INDEX(Comparison!$A$5:$A$72,MATCH(8,Comparison!$U$5:$U$72,0)),"")</f>
        <v/>
      </c>
      <c r="B48" s="6"/>
      <c r="C48" s="6"/>
      <c r="D48" s="7" t="str">
        <f aca="false">IFERROR(INDEX(Comparison!$B$5:$B$72,MATCH(8,Comparison!$U$5:$U$72,0)),"")</f>
        <v/>
      </c>
    </row>
    <row r="49" customFormat="false" ht="15" hidden="false" customHeight="false" outlineLevel="0" collapsed="false">
      <c r="A49" s="6" t="str">
        <f aca="false">IFERROR(INDEX(Comparison!$A$5:$A$72,MATCH(9,Comparison!$U$5:$U$72,0)),"")</f>
        <v/>
      </c>
      <c r="B49" s="6"/>
      <c r="C49" s="6"/>
      <c r="D49" s="7" t="str">
        <f aca="false">IFERROR(INDEX(Comparison!$B$5:$B$72,MATCH(9,Comparison!$U$5:$U$72,0)),"")</f>
        <v/>
      </c>
    </row>
    <row r="50" customFormat="false" ht="15" hidden="false" customHeight="false" outlineLevel="0" collapsed="false">
      <c r="A50" s="6" t="str">
        <f aca="false">IFERROR(INDEX(Comparison!$A$5:$A$72,MATCH(10,Comparison!$U$5:$U$72,0)),"")</f>
        <v/>
      </c>
      <c r="B50" s="6"/>
      <c r="C50" s="6"/>
      <c r="D50" s="7" t="str">
        <f aca="false">IFERROR(INDEX(Comparison!$B$5:$B$72,MATCH(10,Comparison!$U$5:$U$72,0)),"")</f>
        <v/>
      </c>
    </row>
    <row r="52" customFormat="false" ht="15" hidden="false" customHeight="false" outlineLevel="0" collapsed="false">
      <c r="A52" s="10" t="s">
        <v>7</v>
      </c>
      <c r="B52" s="10"/>
      <c r="C52" s="10"/>
      <c r="D52" s="11" t="n">
        <f aca="false">COUNTIF(Comparison!$O$5:$O$72,"All except PageBinder")</f>
        <v>0</v>
      </c>
    </row>
    <row r="53" customFormat="false" ht="15" hidden="false" customHeight="false" outlineLevel="0" collapsed="false">
      <c r="A53" s="6" t="str">
        <f aca="false">IFERROR(INDEX(Comparison!$A$5:$A$72,MATCH(1,Comparison!$V$5:$V$72,0)),"")</f>
        <v/>
      </c>
      <c r="B53" s="6"/>
      <c r="C53" s="6"/>
      <c r="D53" s="7" t="str">
        <f aca="false">IFERROR(INDEX(Comparison!$B$5:$B$72,MATCH(1,Comparison!$V$5:$V$72,0)),"")</f>
        <v/>
      </c>
    </row>
    <row r="54" customFormat="false" ht="15" hidden="false" customHeight="false" outlineLevel="0" collapsed="false">
      <c r="A54" s="6" t="str">
        <f aca="false">IFERROR(INDEX(Comparison!$A$5:$A$72,MATCH(2,Comparison!$V$5:$V$72,0)),"")</f>
        <v/>
      </c>
      <c r="B54" s="6"/>
      <c r="C54" s="6"/>
      <c r="D54" s="7" t="str">
        <f aca="false">IFERROR(INDEX(Comparison!$B$5:$B$72,MATCH(2,Comparison!$V$5:$V$72,0)),"")</f>
        <v/>
      </c>
    </row>
    <row r="55" customFormat="false" ht="15" hidden="false" customHeight="false" outlineLevel="0" collapsed="false">
      <c r="A55" s="6" t="str">
        <f aca="false">IFERROR(INDEX(Comparison!$A$5:$A$72,MATCH(3,Comparison!$V$5:$V$72,0)),"")</f>
        <v/>
      </c>
      <c r="B55" s="6"/>
      <c r="C55" s="6"/>
      <c r="D55" s="7" t="str">
        <f aca="false">IFERROR(INDEX(Comparison!$B$5:$B$72,MATCH(3,Comparison!$V$5:$V$72,0)),"")</f>
        <v/>
      </c>
    </row>
    <row r="56" customFormat="false" ht="15" hidden="false" customHeight="false" outlineLevel="0" collapsed="false">
      <c r="A56" s="6" t="str">
        <f aca="false">IFERROR(INDEX(Comparison!$A$5:$A$72,MATCH(4,Comparison!$V$5:$V$72,0)),"")</f>
        <v/>
      </c>
      <c r="B56" s="6"/>
      <c r="C56" s="6"/>
      <c r="D56" s="7" t="str">
        <f aca="false">IFERROR(INDEX(Comparison!$B$5:$B$72,MATCH(4,Comparison!$V$5:$V$72,0)),"")</f>
        <v/>
      </c>
    </row>
    <row r="57" customFormat="false" ht="15" hidden="false" customHeight="false" outlineLevel="0" collapsed="false">
      <c r="A57" s="6" t="str">
        <f aca="false">IFERROR(INDEX(Comparison!$A$5:$A$72,MATCH(5,Comparison!$V$5:$V$72,0)),"")</f>
        <v/>
      </c>
      <c r="B57" s="6"/>
      <c r="C57" s="6"/>
      <c r="D57" s="7" t="str">
        <f aca="false">IFERROR(INDEX(Comparison!$B$5:$B$72,MATCH(5,Comparison!$V$5:$V$72,0)),"")</f>
        <v/>
      </c>
    </row>
    <row r="58" customFormat="false" ht="15" hidden="false" customHeight="false" outlineLevel="0" collapsed="false">
      <c r="A58" s="6" t="str">
        <f aca="false">IFERROR(INDEX(Comparison!$A$5:$A$72,MATCH(6,Comparison!$V$5:$V$72,0)),"")</f>
        <v/>
      </c>
      <c r="B58" s="6"/>
      <c r="C58" s="6"/>
      <c r="D58" s="7" t="str">
        <f aca="false">IFERROR(INDEX(Comparison!$B$5:$B$72,MATCH(6,Comparison!$V$5:$V$72,0)),"")</f>
        <v/>
      </c>
    </row>
    <row r="59" customFormat="false" ht="15" hidden="false" customHeight="false" outlineLevel="0" collapsed="false">
      <c r="A59" s="6" t="str">
        <f aca="false">IFERROR(INDEX(Comparison!$A$5:$A$72,MATCH(7,Comparison!$V$5:$V$72,0)),"")</f>
        <v/>
      </c>
      <c r="B59" s="6"/>
      <c r="C59" s="6"/>
      <c r="D59" s="7" t="str">
        <f aca="false">IFERROR(INDEX(Comparison!$B$5:$B$72,MATCH(7,Comparison!$V$5:$V$72,0)),"")</f>
        <v/>
      </c>
    </row>
    <row r="60" customFormat="false" ht="15" hidden="false" customHeight="false" outlineLevel="0" collapsed="false">
      <c r="A60" s="6" t="str">
        <f aca="false">IFERROR(INDEX(Comparison!$A$5:$A$72,MATCH(8,Comparison!$V$5:$V$72,0)),"")</f>
        <v/>
      </c>
      <c r="B60" s="6"/>
      <c r="C60" s="6"/>
      <c r="D60" s="7" t="str">
        <f aca="false">IFERROR(INDEX(Comparison!$B$5:$B$72,MATCH(8,Comparison!$V$5:$V$72,0)),"")</f>
        <v/>
      </c>
    </row>
    <row r="61" customFormat="false" ht="15" hidden="false" customHeight="false" outlineLevel="0" collapsed="false">
      <c r="A61" s="6" t="str">
        <f aca="false">IFERROR(INDEX(Comparison!$A$5:$A$72,MATCH(9,Comparison!$V$5:$V$72,0)),"")</f>
        <v/>
      </c>
      <c r="B61" s="6"/>
      <c r="C61" s="6"/>
      <c r="D61" s="7" t="str">
        <f aca="false">IFERROR(INDEX(Comparison!$B$5:$B$72,MATCH(9,Comparison!$V$5:$V$72,0)),"")</f>
        <v/>
      </c>
    </row>
    <row r="62" customFormat="false" ht="15" hidden="false" customHeight="false" outlineLevel="0" collapsed="false">
      <c r="A62" s="6" t="str">
        <f aca="false">IFERROR(INDEX(Comparison!$A$5:$A$72,MATCH(10,Comparison!$V$5:$V$72,0)),"")</f>
        <v/>
      </c>
      <c r="B62" s="6"/>
      <c r="C62" s="6"/>
      <c r="D62" s="7" t="str">
        <f aca="false">IFERROR(INDEX(Comparison!$B$5:$B$72,MATCH(10,Comparison!$V$5:$V$72,0)),"")</f>
        <v/>
      </c>
    </row>
    <row r="64" customFormat="false" ht="15" hidden="false" customHeight="false" outlineLevel="0" collapsed="false">
      <c r="A64" s="12" t="s">
        <v>8</v>
      </c>
      <c r="B64" s="12"/>
      <c r="C64" s="12"/>
      <c r="D64" s="13" t="n">
        <f aca="false">COUNTIF(Comparison!$O$5:$O$72,"Shared by all")</f>
        <v>3</v>
      </c>
    </row>
    <row r="65" customFormat="false" ht="15" hidden="false" customHeight="false" outlineLevel="0" collapsed="false">
      <c r="A65" s="6" t="str">
        <f aca="false">IFERROR(INDEX(Comparison!$A$5:$A$72,MATCH(1,Comparison!$W$5:$W$72,0)),"")</f>
        <v>Works fully offline</v>
      </c>
      <c r="B65" s="6"/>
      <c r="C65" s="6"/>
      <c r="D65" s="7" t="str">
        <f aca="false">IFERROR(INDEX(Comparison!$B$5:$B$72,MATCH(1,Comparison!$W$5:$W$72,0)),"")</f>
        <v>Yes</v>
      </c>
    </row>
    <row r="66" customFormat="false" ht="15" hidden="false" customHeight="false" outlineLevel="0" collapsed="false">
      <c r="A66" s="6" t="str">
        <f aca="false">IFERROR(INDEX(Comparison!$A$5:$A$72,MATCH(2,Comparison!$W$5:$W$72,0)),"")</f>
        <v>Notebook made on a Mac opens on Windows unchanged</v>
      </c>
      <c r="B66" s="6"/>
      <c r="C66" s="6"/>
      <c r="D66" s="7" t="str">
        <f aca="false">IFERROR(INDEX(Comparison!$B$5:$B$72,MATCH(2,Comparison!$W$5:$W$72,0)),"")</f>
        <v>Yes: verified automatically on every release</v>
      </c>
    </row>
    <row r="67" customFormat="false" ht="15" hidden="false" customHeight="false" outlineLevel="0" collapsed="false">
      <c r="A67" s="6" t="str">
        <f aca="false">IFERROR(INDEX(Comparison!$A$5:$A$72,MATCH(3,Comparison!$W$5:$W$72,0)),"")</f>
        <v>Pictures on the page</v>
      </c>
      <c r="B67" s="6"/>
      <c r="C67" s="6"/>
      <c r="D67" s="7" t="str">
        <f aca="false">IFERROR(INDEX(Comparison!$B$5:$B$72,MATCH(3,Comparison!$W$5:$W$72,0)),"")</f>
        <v>Yes</v>
      </c>
    </row>
    <row r="68" customFormat="false" ht="15" hidden="false" customHeight="false" outlineLevel="0" collapsed="false">
      <c r="A68" s="6" t="str">
        <f aca="false">IFERROR(INDEX(Comparison!$A$5:$A$72,MATCH(4,Comparison!$W$5:$W$72,0)),"")</f>
        <v/>
      </c>
      <c r="B68" s="6"/>
      <c r="C68" s="6"/>
      <c r="D68" s="7" t="str">
        <f aca="false">IFERROR(INDEX(Comparison!$B$5:$B$72,MATCH(4,Comparison!$W$5:$W$72,0)),"")</f>
        <v/>
      </c>
    </row>
    <row r="69" customFormat="false" ht="15" hidden="false" customHeight="false" outlineLevel="0" collapsed="false">
      <c r="A69" s="6" t="str">
        <f aca="false">IFERROR(INDEX(Comparison!$A$5:$A$72,MATCH(5,Comparison!$W$5:$W$72,0)),"")</f>
        <v/>
      </c>
      <c r="B69" s="6"/>
      <c r="C69" s="6"/>
      <c r="D69" s="7" t="str">
        <f aca="false">IFERROR(INDEX(Comparison!$B$5:$B$72,MATCH(5,Comparison!$W$5:$W$72,0)),"")</f>
        <v/>
      </c>
    </row>
    <row r="70" customFormat="false" ht="15" hidden="false" customHeight="false" outlineLevel="0" collapsed="false">
      <c r="A70" s="6" t="str">
        <f aca="false">IFERROR(INDEX(Comparison!$A$5:$A$72,MATCH(6,Comparison!$W$5:$W$72,0)),"")</f>
        <v/>
      </c>
      <c r="B70" s="6"/>
      <c r="C70" s="6"/>
      <c r="D70" s="7" t="str">
        <f aca="false">IFERROR(INDEX(Comparison!$B$5:$B$72,MATCH(6,Comparison!$W$5:$W$72,0)),"")</f>
        <v/>
      </c>
    </row>
    <row r="71" customFormat="false" ht="15" hidden="false" customHeight="false" outlineLevel="0" collapsed="false">
      <c r="A71" s="6" t="str">
        <f aca="false">IFERROR(INDEX(Comparison!$A$5:$A$72,MATCH(7,Comparison!$W$5:$W$72,0)),"")</f>
        <v/>
      </c>
      <c r="B71" s="6"/>
      <c r="C71" s="6"/>
      <c r="D71" s="7" t="str">
        <f aca="false">IFERROR(INDEX(Comparison!$B$5:$B$72,MATCH(7,Comparison!$W$5:$W$72,0)),"")</f>
        <v/>
      </c>
    </row>
    <row r="72" customFormat="false" ht="15" hidden="false" customHeight="false" outlineLevel="0" collapsed="false">
      <c r="A72" s="6" t="str">
        <f aca="false">IFERROR(INDEX(Comparison!$A$5:$A$72,MATCH(8,Comparison!$W$5:$W$72,0)),"")</f>
        <v/>
      </c>
      <c r="B72" s="6"/>
      <c r="C72" s="6"/>
      <c r="D72" s="7" t="str">
        <f aca="false">IFERROR(INDEX(Comparison!$B$5:$B$72,MATCH(8,Comparison!$W$5:$W$72,0)),"")</f>
        <v/>
      </c>
    </row>
    <row r="73" customFormat="false" ht="15" hidden="false" customHeight="false" outlineLevel="0" collapsed="false">
      <c r="A73" s="6" t="str">
        <f aca="false">IFERROR(INDEX(Comparison!$A$5:$A$72,MATCH(9,Comparison!$W$5:$W$72,0)),"")</f>
        <v/>
      </c>
      <c r="B73" s="6"/>
      <c r="C73" s="6"/>
      <c r="D73" s="7" t="str">
        <f aca="false">IFERROR(INDEX(Comparison!$B$5:$B$72,MATCH(9,Comparison!$W$5:$W$72,0)),"")</f>
        <v/>
      </c>
    </row>
    <row r="74" customFormat="false" ht="15" hidden="false" customHeight="false" outlineLevel="0" collapsed="false">
      <c r="A74" s="6" t="str">
        <f aca="false">IFERROR(INDEX(Comparison!$A$5:$A$72,MATCH(10,Comparison!$W$5:$W$72,0)),"")</f>
        <v/>
      </c>
      <c r="B74" s="6"/>
      <c r="C74" s="6"/>
      <c r="D74" s="7" t="str">
        <f aca="false">IFERROR(INDEX(Comparison!$B$5:$B$72,MATCH(10,Comparison!$W$5:$W$72,0)),"")</f>
        <v/>
      </c>
    </row>
    <row r="76" customFormat="false" ht="15" hidden="false" customHeight="false" outlineLevel="0" collapsed="false">
      <c r="A76" s="14" t="s">
        <v>9</v>
      </c>
      <c r="B76" s="14"/>
      <c r="C76" s="14"/>
      <c r="D76" s="14"/>
    </row>
  </sheetData>
  <mergeCells count="68">
    <mergeCell ref="A2:D2"/>
    <mergeCell ref="A4:C4"/>
    <mergeCell ref="A5:C5"/>
    <mergeCell ref="A6:C6"/>
    <mergeCell ref="A7:C7"/>
    <mergeCell ref="A8:C8"/>
    <mergeCell ref="A9:C9"/>
    <mergeCell ref="A10:C10"/>
    <mergeCell ref="A11:C11"/>
    <mergeCell ref="A12:C12"/>
    <mergeCell ref="A13:C13"/>
    <mergeCell ref="A14:C14"/>
    <mergeCell ref="A16:C16"/>
    <mergeCell ref="A17:C17"/>
    <mergeCell ref="A18:C18"/>
    <mergeCell ref="A19:C19"/>
    <mergeCell ref="A20:C20"/>
    <mergeCell ref="A21:C21"/>
    <mergeCell ref="A22:C22"/>
    <mergeCell ref="A23:C23"/>
    <mergeCell ref="A24:C24"/>
    <mergeCell ref="A25:C25"/>
    <mergeCell ref="A26:C26"/>
    <mergeCell ref="A28:C28"/>
    <mergeCell ref="A29:C29"/>
    <mergeCell ref="A30:C30"/>
    <mergeCell ref="A31:C31"/>
    <mergeCell ref="A32:C32"/>
    <mergeCell ref="A33:C33"/>
    <mergeCell ref="A34:C34"/>
    <mergeCell ref="A35:C35"/>
    <mergeCell ref="A36:C36"/>
    <mergeCell ref="A37:C37"/>
    <mergeCell ref="A38:C38"/>
    <mergeCell ref="A40:C40"/>
    <mergeCell ref="A41:C41"/>
    <mergeCell ref="A42:C42"/>
    <mergeCell ref="A43:C43"/>
    <mergeCell ref="A44:C44"/>
    <mergeCell ref="A45:C45"/>
    <mergeCell ref="A46:C46"/>
    <mergeCell ref="A47:C47"/>
    <mergeCell ref="A48:C48"/>
    <mergeCell ref="A49:C49"/>
    <mergeCell ref="A50:C50"/>
    <mergeCell ref="A52:C52"/>
    <mergeCell ref="A53:C53"/>
    <mergeCell ref="A54:C54"/>
    <mergeCell ref="A55:C55"/>
    <mergeCell ref="A56:C56"/>
    <mergeCell ref="A57:C57"/>
    <mergeCell ref="A58:C58"/>
    <mergeCell ref="A59:C59"/>
    <mergeCell ref="A60:C60"/>
    <mergeCell ref="A61:C61"/>
    <mergeCell ref="A62:C62"/>
    <mergeCell ref="A64:C64"/>
    <mergeCell ref="A65:C65"/>
    <mergeCell ref="A66:C66"/>
    <mergeCell ref="A67:C67"/>
    <mergeCell ref="A68:C68"/>
    <mergeCell ref="A69:C69"/>
    <mergeCell ref="A70:C70"/>
    <mergeCell ref="A71:C71"/>
    <mergeCell ref="A72:C72"/>
    <mergeCell ref="A73:C73"/>
    <mergeCell ref="A74:C74"/>
    <mergeCell ref="A76:D7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13" min="2" style="0" width="24"/>
    <col collapsed="false" customWidth="true" hidden="false" outlineLevel="0" max="14" min="14" style="0" width="13"/>
    <col collapsed="false" customWidth="true" hidden="false" outlineLevel="0" max="15" min="15" style="0" width="22"/>
    <col collapsed="false" customWidth="true" hidden="false" outlineLevel="0" max="16" min="16" style="0" width="36"/>
    <col collapsed="false" customWidth="true" hidden="false" outlineLevel="0" max="17" min="17" style="0" width="18"/>
    <col collapsed="false" customWidth="true" hidden="true" outlineLevel="0" max="23" min="18" style="0" width="13"/>
  </cols>
  <sheetData>
    <row r="1" customFormat="false" ht="19.7" hidden="false" customHeight="false" outlineLevel="0" collapsed="false">
      <c r="A1" s="1" t="s">
        <v>10</v>
      </c>
    </row>
    <row r="2" customFormat="false" ht="43.5" hidden="false" customHeight="true" outlineLevel="0" collapsed="false">
      <c r="A2" s="2" t="s">
        <v>11</v>
      </c>
      <c r="B2" s="2"/>
      <c r="C2" s="2"/>
      <c r="D2" s="2"/>
      <c r="E2" s="2"/>
      <c r="F2" s="2"/>
      <c r="G2" s="2"/>
      <c r="H2" s="2"/>
      <c r="I2" s="2"/>
      <c r="J2" s="2"/>
      <c r="K2" s="2"/>
      <c r="L2" s="2"/>
      <c r="M2" s="2"/>
      <c r="N2" s="2"/>
      <c r="O2" s="2"/>
      <c r="P2" s="2"/>
    </row>
    <row r="4" customFormat="false" ht="31.5" hidden="false" customHeight="true" outlineLevel="0" collapsed="false">
      <c r="A4" s="15" t="s">
        <v>12</v>
      </c>
      <c r="B4" s="16" t="s">
        <v>13</v>
      </c>
      <c r="C4" s="15" t="s">
        <v>14</v>
      </c>
      <c r="D4" s="15" t="s">
        <v>15</v>
      </c>
      <c r="E4" s="15" t="s">
        <v>16</v>
      </c>
      <c r="F4" s="15" t="s">
        <v>17</v>
      </c>
      <c r="G4" s="15" t="s">
        <v>18</v>
      </c>
      <c r="H4" s="15" t="s">
        <v>19</v>
      </c>
      <c r="I4" s="15" t="s">
        <v>20</v>
      </c>
      <c r="J4" s="15" t="s">
        <v>21</v>
      </c>
      <c r="K4" s="15" t="s">
        <v>22</v>
      </c>
      <c r="L4" s="15" t="s">
        <v>23</v>
      </c>
      <c r="M4" s="15" t="s">
        <v>24</v>
      </c>
      <c r="N4" s="15" t="s">
        <v>25</v>
      </c>
      <c r="O4" s="15" t="s">
        <v>26</v>
      </c>
      <c r="P4" s="15" t="s">
        <v>27</v>
      </c>
      <c r="Q4" s="15" t="s">
        <v>28</v>
      </c>
      <c r="R4" s="15" t="s">
        <v>29</v>
      </c>
      <c r="S4" s="15" t="s">
        <v>30</v>
      </c>
      <c r="T4" s="15" t="s">
        <v>31</v>
      </c>
      <c r="U4" s="15" t="s">
        <v>32</v>
      </c>
      <c r="V4" s="15" t="s">
        <v>33</v>
      </c>
      <c r="W4" s="15" t="s">
        <v>34</v>
      </c>
    </row>
    <row r="5" customFormat="false" ht="15" hidden="false" customHeight="false" outlineLevel="0" collapsed="false">
      <c r="A5" s="17" t="s">
        <v>35</v>
      </c>
      <c r="B5" s="17"/>
      <c r="C5" s="17"/>
      <c r="D5" s="17"/>
      <c r="E5" s="17"/>
      <c r="F5" s="17"/>
      <c r="G5" s="17"/>
      <c r="H5" s="17"/>
      <c r="I5" s="17"/>
      <c r="J5" s="17"/>
      <c r="K5" s="17"/>
      <c r="L5" s="17"/>
      <c r="M5" s="17"/>
      <c r="N5" s="17"/>
      <c r="O5" s="17"/>
      <c r="P5" s="17"/>
      <c r="Q5" s="18" t="s">
        <v>35</v>
      </c>
    </row>
    <row r="6" customFormat="false" ht="46.25" hidden="false" customHeight="false" outlineLevel="0" collapsed="false">
      <c r="A6" s="19" t="s">
        <v>36</v>
      </c>
      <c r="B6" s="20" t="s">
        <v>37</v>
      </c>
      <c r="C6" s="20" t="s">
        <v>38</v>
      </c>
      <c r="D6" s="20" t="s">
        <v>39</v>
      </c>
      <c r="E6" s="20" t="s">
        <v>40</v>
      </c>
      <c r="F6" s="20" t="s">
        <v>41</v>
      </c>
      <c r="G6" s="20" t="s">
        <v>42</v>
      </c>
      <c r="H6" s="20" t="s">
        <v>43</v>
      </c>
      <c r="I6" s="20" t="s">
        <v>44</v>
      </c>
      <c r="J6" s="20" t="s">
        <v>45</v>
      </c>
      <c r="K6" s="20" t="s">
        <v>46</v>
      </c>
      <c r="L6" s="20" t="s">
        <v>47</v>
      </c>
      <c r="M6" s="20" t="s">
        <v>48</v>
      </c>
      <c r="N6" s="21" t="n">
        <f aca="false">COUNTIF(B6:M6,"Yes*")</f>
        <v>0</v>
      </c>
      <c r="O6" s="21" t="str">
        <f aca="false">IF(COUNTIF(B6:M6,"Yes*")=12,"Shared by all",IF(AND(LEFT(B6,3)="Yes",COUNTIF(B6:M6,"Yes*")=1),"Only PageBinder",IF(AND(LEFT(B6,3)="Yes",COUNTIF(B6:M6,"Yes*")=2),"PageBinder and one other",IF(AND(LEFT(B6,3)&lt;&gt;"Yes",COUNTIF(B6:M6,"Yes*")=11),"All except PageBinder",IF(AND(LEFT(B6,3)&lt;&gt;"Yes",COUNTIF(B6:M6,"Yes*")&gt;=9),"Most others, not PageBinder",IF(AND(LEFT(B6,3)="Yes",COUNTIF(B6:M6,"Yes*")&lt;=4),"PageBinder and a few others",""))))))</f>
        <v/>
      </c>
      <c r="P6" s="22" t="s">
        <v>49</v>
      </c>
      <c r="Q6" s="23" t="s">
        <v>35</v>
      </c>
      <c r="R6" s="23" t="str">
        <f aca="false">IF(O6="Only PageBinder",COUNTIF(O$5:O6,"Only PageBinder"),"")</f>
        <v/>
      </c>
      <c r="S6" s="23" t="str">
        <f aca="false">IF(O6="PageBinder and one other",COUNTIF(O$5:O6,"PageBinder and one other"),"")</f>
        <v/>
      </c>
      <c r="T6" s="23" t="str">
        <f aca="false">IF(O6="PageBinder and a few others",COUNTIF(O$5:O6,"PageBinder and a few others"),"")</f>
        <v/>
      </c>
      <c r="U6" s="23" t="str">
        <f aca="false">IF(O6="Most others, not PageBinder",COUNTIF(O$5:O6,"Most others, not PageBinder"),"")</f>
        <v/>
      </c>
      <c r="V6" s="23" t="str">
        <f aca="false">IF(O6="All except PageBinder",COUNTIF(O$5:O6,"All except PageBinder"),"")</f>
        <v/>
      </c>
      <c r="W6" s="23" t="str">
        <f aca="false">IF(O6="Shared by all",COUNTIF(O$5:O6,"Shared by all"),"")</f>
        <v/>
      </c>
    </row>
    <row r="7" customFormat="false" ht="46.25" hidden="false" customHeight="false" outlineLevel="0" collapsed="false">
      <c r="A7" s="19" t="s">
        <v>50</v>
      </c>
      <c r="B7" s="20" t="s">
        <v>51</v>
      </c>
      <c r="C7" s="20" t="s">
        <v>52</v>
      </c>
      <c r="D7" s="20" t="s">
        <v>53</v>
      </c>
      <c r="E7" s="20" t="s">
        <v>52</v>
      </c>
      <c r="F7" s="20" t="s">
        <v>52</v>
      </c>
      <c r="G7" s="20" t="s">
        <v>52</v>
      </c>
      <c r="H7" s="20" t="s">
        <v>54</v>
      </c>
      <c r="I7" s="20" t="s">
        <v>52</v>
      </c>
      <c r="J7" s="20" t="s">
        <v>55</v>
      </c>
      <c r="K7" s="20" t="s">
        <v>56</v>
      </c>
      <c r="L7" s="20" t="s">
        <v>57</v>
      </c>
      <c r="M7" s="20" t="s">
        <v>58</v>
      </c>
      <c r="N7" s="21" t="n">
        <f aca="false">COUNTIF(B7:M7,"Yes*")</f>
        <v>0</v>
      </c>
      <c r="O7" s="21" t="str">
        <f aca="false">IF(COUNTIF(B7:M7,"Yes*")=12,"Shared by all",IF(AND(LEFT(B7,3)="Yes",COUNTIF(B7:M7,"Yes*")=1),"Only PageBinder",IF(AND(LEFT(B7,3)="Yes",COUNTIF(B7:M7,"Yes*")=2),"PageBinder and one other",IF(AND(LEFT(B7,3)&lt;&gt;"Yes",COUNTIF(B7:M7,"Yes*")=11),"All except PageBinder",IF(AND(LEFT(B7,3)&lt;&gt;"Yes",COUNTIF(B7:M7,"Yes*")&gt;=9),"Most others, not PageBinder",IF(AND(LEFT(B7,3)="Yes",COUNTIF(B7:M7,"Yes*")&lt;=4),"PageBinder and a few others",""))))))</f>
        <v/>
      </c>
      <c r="P7" s="22" t="s">
        <v>59</v>
      </c>
      <c r="Q7" s="23" t="s">
        <v>35</v>
      </c>
      <c r="R7" s="23" t="str">
        <f aca="false">IF(O7="Only PageBinder",COUNTIF(O$5:O7,"Only PageBinder"),"")</f>
        <v/>
      </c>
      <c r="S7" s="23" t="str">
        <f aca="false">IF(O7="PageBinder and one other",COUNTIF(O$5:O7,"PageBinder and one other"),"")</f>
        <v/>
      </c>
      <c r="T7" s="23" t="str">
        <f aca="false">IF(O7="PageBinder and a few others",COUNTIF(O$5:O7,"PageBinder and a few others"),"")</f>
        <v/>
      </c>
      <c r="U7" s="23" t="str">
        <f aca="false">IF(O7="Most others, not PageBinder",COUNTIF(O$5:O7,"Most others, not PageBinder"),"")</f>
        <v/>
      </c>
      <c r="V7" s="23" t="str">
        <f aca="false">IF(O7="All except PageBinder",COUNTIF(O$5:O7,"All except PageBinder"),"")</f>
        <v/>
      </c>
      <c r="W7" s="23" t="str">
        <f aca="false">IF(O7="Shared by all",COUNTIF(O$5:O7,"Shared by all"),"")</f>
        <v/>
      </c>
    </row>
    <row r="8" customFormat="false" ht="23.85" hidden="false" customHeight="false" outlineLevel="0" collapsed="false">
      <c r="A8" s="19" t="s">
        <v>60</v>
      </c>
      <c r="B8" s="20" t="s">
        <v>61</v>
      </c>
      <c r="C8" s="20" t="s">
        <v>62</v>
      </c>
      <c r="D8" s="20" t="s">
        <v>63</v>
      </c>
      <c r="E8" s="20" t="s">
        <v>64</v>
      </c>
      <c r="F8" s="20" t="s">
        <v>61</v>
      </c>
      <c r="G8" s="20" t="s">
        <v>65</v>
      </c>
      <c r="H8" s="20" t="s">
        <v>66</v>
      </c>
      <c r="I8" s="20" t="s">
        <v>67</v>
      </c>
      <c r="J8" s="20" t="s">
        <v>68</v>
      </c>
      <c r="K8" s="20" t="s">
        <v>69</v>
      </c>
      <c r="L8" s="20" t="s">
        <v>61</v>
      </c>
      <c r="M8" s="20" t="s">
        <v>61</v>
      </c>
      <c r="N8" s="21" t="n">
        <f aca="false">COUNTIF(B8:M8,"Yes*")</f>
        <v>0</v>
      </c>
      <c r="O8" s="21" t="str">
        <f aca="false">IF(COUNTIF(B8:M8,"Yes*")=12,"Shared by all",IF(AND(LEFT(B8,3)="Yes",COUNTIF(B8:M8,"Yes*")=1),"Only PageBinder",IF(AND(LEFT(B8,3)="Yes",COUNTIF(B8:M8,"Yes*")=2),"PageBinder and one other",IF(AND(LEFT(B8,3)&lt;&gt;"Yes",COUNTIF(B8:M8,"Yes*")=11),"All except PageBinder",IF(AND(LEFT(B8,3)&lt;&gt;"Yes",COUNTIF(B8:M8,"Yes*")&gt;=9),"Most others, not PageBinder",IF(AND(LEFT(B8,3)="Yes",COUNTIF(B8:M8,"Yes*")&lt;=4),"PageBinder and a few others",""))))))</f>
        <v/>
      </c>
      <c r="P8" s="22"/>
      <c r="Q8" s="23" t="s">
        <v>35</v>
      </c>
      <c r="R8" s="23" t="str">
        <f aca="false">IF(O8="Only PageBinder",COUNTIF(O$5:O8,"Only PageBinder"),"")</f>
        <v/>
      </c>
      <c r="S8" s="23" t="str">
        <f aca="false">IF(O8="PageBinder and one other",COUNTIF(O$5:O8,"PageBinder and one other"),"")</f>
        <v/>
      </c>
      <c r="T8" s="23" t="str">
        <f aca="false">IF(O8="PageBinder and a few others",COUNTIF(O$5:O8,"PageBinder and a few others"),"")</f>
        <v/>
      </c>
      <c r="U8" s="23" t="str">
        <f aca="false">IF(O8="Most others, not PageBinder",COUNTIF(O$5:O8,"Most others, not PageBinder"),"")</f>
        <v/>
      </c>
      <c r="V8" s="23" t="str">
        <f aca="false">IF(O8="All except PageBinder",COUNTIF(O$5:O8,"All except PageBinder"),"")</f>
        <v/>
      </c>
      <c r="W8" s="23" t="str">
        <f aca="false">IF(O8="Shared by all",COUNTIF(O$5:O8,"Shared by all"),"")</f>
        <v/>
      </c>
    </row>
    <row r="9" customFormat="false" ht="23.85" hidden="false" customHeight="false" outlineLevel="0" collapsed="false">
      <c r="A9" s="19" t="s">
        <v>70</v>
      </c>
      <c r="B9" s="20" t="s">
        <v>71</v>
      </c>
      <c r="C9" s="20" t="s">
        <v>72</v>
      </c>
      <c r="D9" s="20" t="s">
        <v>72</v>
      </c>
      <c r="E9" s="20" t="s">
        <v>72</v>
      </c>
      <c r="F9" s="20" t="s">
        <v>73</v>
      </c>
      <c r="G9" s="20" t="s">
        <v>74</v>
      </c>
      <c r="H9" s="20" t="s">
        <v>75</v>
      </c>
      <c r="I9" s="20" t="s">
        <v>75</v>
      </c>
      <c r="J9" s="20" t="s">
        <v>72</v>
      </c>
      <c r="K9" s="20" t="s">
        <v>75</v>
      </c>
      <c r="L9" s="20" t="s">
        <v>76</v>
      </c>
      <c r="M9" s="20" t="s">
        <v>77</v>
      </c>
      <c r="N9" s="21" t="n">
        <f aca="false">COUNTIF(B9:M9,"Yes*")</f>
        <v>0</v>
      </c>
      <c r="O9" s="21" t="str">
        <f aca="false">IF(COUNTIF(B9:M9,"Yes*")=12,"Shared by all",IF(AND(LEFT(B9,3)="Yes",COUNTIF(B9:M9,"Yes*")=1),"Only PageBinder",IF(AND(LEFT(B9,3)="Yes",COUNTIF(B9:M9,"Yes*")=2),"PageBinder and one other",IF(AND(LEFT(B9,3)&lt;&gt;"Yes",COUNTIF(B9:M9,"Yes*")=11),"All except PageBinder",IF(AND(LEFT(B9,3)&lt;&gt;"Yes",COUNTIF(B9:M9,"Yes*")&gt;=9),"Most others, not PageBinder",IF(AND(LEFT(B9,3)="Yes",COUNTIF(B9:M9,"Yes*")&lt;=4),"PageBinder and a few others",""))))))</f>
        <v/>
      </c>
      <c r="P9" s="22"/>
      <c r="Q9" s="23" t="s">
        <v>35</v>
      </c>
      <c r="R9" s="23" t="str">
        <f aca="false">IF(O9="Only PageBinder",COUNTIF(O$5:O9,"Only PageBinder"),"")</f>
        <v/>
      </c>
      <c r="S9" s="23" t="str">
        <f aca="false">IF(O9="PageBinder and one other",COUNTIF(O$5:O9,"PageBinder and one other"),"")</f>
        <v/>
      </c>
      <c r="T9" s="23" t="str">
        <f aca="false">IF(O9="PageBinder and a few others",COUNTIF(O$5:O9,"PageBinder and a few others"),"")</f>
        <v/>
      </c>
      <c r="U9" s="23" t="str">
        <f aca="false">IF(O9="Most others, not PageBinder",COUNTIF(O$5:O9,"Most others, not PageBinder"),"")</f>
        <v/>
      </c>
      <c r="V9" s="23" t="str">
        <f aca="false">IF(O9="All except PageBinder",COUNTIF(O$5:O9,"All except PageBinder"),"")</f>
        <v/>
      </c>
      <c r="W9" s="23" t="str">
        <f aca="false">IF(O9="Shared by all",COUNTIF(O$5:O9,"Shared by all"),"")</f>
        <v/>
      </c>
    </row>
    <row r="10" customFormat="false" ht="35.05" hidden="false" customHeight="false" outlineLevel="0" collapsed="false">
      <c r="A10" s="19" t="s">
        <v>78</v>
      </c>
      <c r="B10" s="20" t="s">
        <v>79</v>
      </c>
      <c r="C10" s="20" t="s">
        <v>80</v>
      </c>
      <c r="D10" s="20" t="s">
        <v>80</v>
      </c>
      <c r="E10" s="20" t="s">
        <v>80</v>
      </c>
      <c r="F10" s="20" t="s">
        <v>81</v>
      </c>
      <c r="G10" s="20" t="s">
        <v>82</v>
      </c>
      <c r="H10" s="20" t="s">
        <v>83</v>
      </c>
      <c r="I10" s="20" t="s">
        <v>80</v>
      </c>
      <c r="J10" s="20" t="s">
        <v>80</v>
      </c>
      <c r="K10" s="20" t="s">
        <v>80</v>
      </c>
      <c r="L10" s="20" t="s">
        <v>79</v>
      </c>
      <c r="M10" s="20" t="s">
        <v>84</v>
      </c>
      <c r="N10" s="21" t="n">
        <f aca="false">COUNTIF(B10:M10,"Yes*")</f>
        <v>8</v>
      </c>
      <c r="O10" s="21" t="str">
        <f aca="false">IF(COUNTIF(B10:M10,"Yes*")=12,"Shared by all",IF(AND(LEFT(B10,3)="Yes",COUNTIF(B10:M10,"Yes*")=1),"Only PageBinder",IF(AND(LEFT(B10,3)="Yes",COUNTIF(B10:M10,"Yes*")=2),"PageBinder and one other",IF(AND(LEFT(B10,3)&lt;&gt;"Yes",COUNTIF(B10:M10,"Yes*")=11),"All except PageBinder",IF(AND(LEFT(B10,3)&lt;&gt;"Yes",COUNTIF(B10:M10,"Yes*")&gt;=9),"Most others, not PageBinder",IF(AND(LEFT(B10,3)="Yes",COUNTIF(B10:M10,"Yes*")&lt;=4),"PageBinder and a few others",""))))))</f>
        <v/>
      </c>
      <c r="P10" s="22"/>
      <c r="Q10" s="23" t="s">
        <v>35</v>
      </c>
      <c r="R10" s="23" t="str">
        <f aca="false">IF(O10="Only PageBinder",COUNTIF(O$5:O10,"Only PageBinder"),"")</f>
        <v/>
      </c>
      <c r="S10" s="23" t="str">
        <f aca="false">IF(O10="PageBinder and one other",COUNTIF(O$5:O10,"PageBinder and one other"),"")</f>
        <v/>
      </c>
      <c r="T10" s="23" t="str">
        <f aca="false">IF(O10="PageBinder and a few others",COUNTIF(O$5:O10,"PageBinder and a few others"),"")</f>
        <v/>
      </c>
      <c r="U10" s="23" t="str">
        <f aca="false">IF(O10="Most others, not PageBinder",COUNTIF(O$5:O10,"Most others, not PageBinder"),"")</f>
        <v/>
      </c>
      <c r="V10" s="23" t="str">
        <f aca="false">IF(O10="All except PageBinder",COUNTIF(O$5:O10,"All except PageBinder"),"")</f>
        <v/>
      </c>
      <c r="W10" s="23" t="str">
        <f aca="false">IF(O10="Shared by all",COUNTIF(O$5:O10,"Shared by all"),"")</f>
        <v/>
      </c>
    </row>
    <row r="11" customFormat="false" ht="23.85" hidden="false" customHeight="false" outlineLevel="0" collapsed="false">
      <c r="A11" s="19" t="s">
        <v>85</v>
      </c>
      <c r="B11" s="20" t="s">
        <v>86</v>
      </c>
      <c r="C11" s="20" t="s">
        <v>87</v>
      </c>
      <c r="D11" s="20" t="s">
        <v>88</v>
      </c>
      <c r="E11" s="20" t="s">
        <v>89</v>
      </c>
      <c r="F11" s="20" t="s">
        <v>86</v>
      </c>
      <c r="G11" s="20" t="s">
        <v>90</v>
      </c>
      <c r="H11" s="20" t="s">
        <v>91</v>
      </c>
      <c r="I11" s="20" t="s">
        <v>92</v>
      </c>
      <c r="J11" s="20" t="s">
        <v>93</v>
      </c>
      <c r="K11" s="20" t="s">
        <v>94</v>
      </c>
      <c r="L11" s="20" t="s">
        <v>86</v>
      </c>
      <c r="M11" s="20" t="s">
        <v>86</v>
      </c>
      <c r="N11" s="21" t="n">
        <f aca="false">COUNTIF(B11:M11,"Yes*")</f>
        <v>11</v>
      </c>
      <c r="O11" s="21" t="str">
        <f aca="false">IF(COUNTIF(B11:M11,"Yes*")=12,"Shared by all",IF(AND(LEFT(B11,3)="Yes",COUNTIF(B11:M11,"Yes*")=1),"Only PageBinder",IF(AND(LEFT(B11,3)="Yes",COUNTIF(B11:M11,"Yes*")=2),"PageBinder and one other",IF(AND(LEFT(B11,3)&lt;&gt;"Yes",COUNTIF(B11:M11,"Yes*")=11),"All except PageBinder",IF(AND(LEFT(B11,3)&lt;&gt;"Yes",COUNTIF(B11:M11,"Yes*")&gt;=9),"Most others, not PageBinder",IF(AND(LEFT(B11,3)="Yes",COUNTIF(B11:M11,"Yes*")&lt;=4),"PageBinder and a few others",""))))))</f>
        <v/>
      </c>
      <c r="P11" s="22"/>
      <c r="Q11" s="23" t="s">
        <v>35</v>
      </c>
      <c r="R11" s="23" t="str">
        <f aca="false">IF(O11="Only PageBinder",COUNTIF(O$5:O11,"Only PageBinder"),"")</f>
        <v/>
      </c>
      <c r="S11" s="23" t="str">
        <f aca="false">IF(O11="PageBinder and one other",COUNTIF(O$5:O11,"PageBinder and one other"),"")</f>
        <v/>
      </c>
      <c r="T11" s="23" t="str">
        <f aca="false">IF(O11="PageBinder and a few others",COUNTIF(O$5:O11,"PageBinder and a few others"),"")</f>
        <v/>
      </c>
      <c r="U11" s="23" t="str">
        <f aca="false">IF(O11="Most others, not PageBinder",COUNTIF(O$5:O11,"Most others, not PageBinder"),"")</f>
        <v/>
      </c>
      <c r="V11" s="23" t="str">
        <f aca="false">IF(O11="All except PageBinder",COUNTIF(O$5:O11,"All except PageBinder"),"")</f>
        <v/>
      </c>
      <c r="W11" s="23" t="str">
        <f aca="false">IF(O11="Shared by all",COUNTIF(O$5:O11,"Shared by all"),"")</f>
        <v/>
      </c>
    </row>
    <row r="12" customFormat="false" ht="15" hidden="false" customHeight="false" outlineLevel="0" collapsed="false">
      <c r="A12" s="19" t="s">
        <v>95</v>
      </c>
      <c r="B12" s="20" t="s">
        <v>86</v>
      </c>
      <c r="C12" s="20" t="s">
        <v>86</v>
      </c>
      <c r="D12" s="20" t="s">
        <v>86</v>
      </c>
      <c r="E12" s="20" t="s">
        <v>86</v>
      </c>
      <c r="F12" s="20" t="s">
        <v>86</v>
      </c>
      <c r="G12" s="20" t="s">
        <v>86</v>
      </c>
      <c r="H12" s="20" t="s">
        <v>96</v>
      </c>
      <c r="I12" s="20" t="s">
        <v>97</v>
      </c>
      <c r="J12" s="20" t="s">
        <v>86</v>
      </c>
      <c r="K12" s="20" t="s">
        <v>98</v>
      </c>
      <c r="L12" s="20" t="s">
        <v>86</v>
      </c>
      <c r="M12" s="20" t="s">
        <v>86</v>
      </c>
      <c r="N12" s="21" t="n">
        <f aca="false">COUNTIF(B12:M12,"Yes*")</f>
        <v>12</v>
      </c>
      <c r="O12" s="21" t="str">
        <f aca="false">IF(COUNTIF(B12:M12,"Yes*")=12,"Shared by all",IF(AND(LEFT(B12,3)="Yes",COUNTIF(B12:M12,"Yes*")=1),"Only PageBinder",IF(AND(LEFT(B12,3)="Yes",COUNTIF(B12:M12,"Yes*")=2),"PageBinder and one other",IF(AND(LEFT(B12,3)&lt;&gt;"Yes",COUNTIF(B12:M12,"Yes*")=11),"All except PageBinder",IF(AND(LEFT(B12,3)&lt;&gt;"Yes",COUNTIF(B12:M12,"Yes*")&gt;=9),"Most others, not PageBinder",IF(AND(LEFT(B12,3)="Yes",COUNTIF(B12:M12,"Yes*")&lt;=4),"PageBinder and a few others",""))))))</f>
        <v>Shared by all</v>
      </c>
      <c r="P12" s="22" t="s">
        <v>99</v>
      </c>
      <c r="Q12" s="23" t="s">
        <v>35</v>
      </c>
      <c r="R12" s="23" t="str">
        <f aca="false">IF(O12="Only PageBinder",COUNTIF(O$5:O12,"Only PageBinder"),"")</f>
        <v/>
      </c>
      <c r="S12" s="23" t="str">
        <f aca="false">IF(O12="PageBinder and one other",COUNTIF(O$5:O12,"PageBinder and one other"),"")</f>
        <v/>
      </c>
      <c r="T12" s="23" t="str">
        <f aca="false">IF(O12="PageBinder and a few others",COUNTIF(O$5:O12,"PageBinder and a few others"),"")</f>
        <v/>
      </c>
      <c r="U12" s="23" t="str">
        <f aca="false">IF(O12="Most others, not PageBinder",COUNTIF(O$5:O12,"Most others, not PageBinder"),"")</f>
        <v/>
      </c>
      <c r="V12" s="23" t="str">
        <f aca="false">IF(O12="All except PageBinder",COUNTIF(O$5:O12,"All except PageBinder"),"")</f>
        <v/>
      </c>
      <c r="W12" s="23" t="n">
        <f aca="false">IF(O12="Shared by all",COUNTIF(O$5:O12,"Shared by all"),"")</f>
        <v>1</v>
      </c>
    </row>
    <row r="13" customFormat="false" ht="15" hidden="false" customHeight="false" outlineLevel="0" collapsed="false">
      <c r="A13" s="17" t="s">
        <v>100</v>
      </c>
      <c r="B13" s="17"/>
      <c r="C13" s="17"/>
      <c r="D13" s="17"/>
      <c r="E13" s="17"/>
      <c r="F13" s="17"/>
      <c r="G13" s="17"/>
      <c r="H13" s="17"/>
      <c r="I13" s="17"/>
      <c r="J13" s="17"/>
      <c r="K13" s="17"/>
      <c r="L13" s="17"/>
      <c r="M13" s="17"/>
      <c r="N13" s="17"/>
      <c r="O13" s="17"/>
      <c r="P13" s="17"/>
      <c r="Q13" s="18" t="s">
        <v>100</v>
      </c>
    </row>
    <row r="14" customFormat="false" ht="46.25" hidden="false" customHeight="false" outlineLevel="0" collapsed="false">
      <c r="A14" s="19" t="s">
        <v>101</v>
      </c>
      <c r="B14" s="20" t="s">
        <v>102</v>
      </c>
      <c r="C14" s="20" t="s">
        <v>103</v>
      </c>
      <c r="D14" s="20" t="s">
        <v>104</v>
      </c>
      <c r="E14" s="20" t="s">
        <v>105</v>
      </c>
      <c r="F14" s="20" t="s">
        <v>106</v>
      </c>
      <c r="G14" s="20" t="s">
        <v>107</v>
      </c>
      <c r="H14" s="20" t="s">
        <v>108</v>
      </c>
      <c r="I14" s="20" t="s">
        <v>109</v>
      </c>
      <c r="J14" s="20" t="s">
        <v>110</v>
      </c>
      <c r="K14" s="20" t="s">
        <v>111</v>
      </c>
      <c r="L14" s="20" t="s">
        <v>112</v>
      </c>
      <c r="M14" s="20" t="s">
        <v>113</v>
      </c>
      <c r="N14" s="21" t="n">
        <f aca="false">COUNTIF(B14:M14,"Yes*")</f>
        <v>0</v>
      </c>
      <c r="O14" s="21" t="str">
        <f aca="false">IF(COUNTIF(B14:M14,"Yes*")=12,"Shared by all",IF(AND(LEFT(B14,3)="Yes",COUNTIF(B14:M14,"Yes*")=1),"Only PageBinder",IF(AND(LEFT(B14,3)="Yes",COUNTIF(B14:M14,"Yes*")=2),"PageBinder and one other",IF(AND(LEFT(B14,3)&lt;&gt;"Yes",COUNTIF(B14:M14,"Yes*")=11),"All except PageBinder",IF(AND(LEFT(B14,3)&lt;&gt;"Yes",COUNTIF(B14:M14,"Yes*")&gt;=9),"Most others, not PageBinder",IF(AND(LEFT(B14,3)="Yes",COUNTIF(B14:M14,"Yes*")&lt;=4),"PageBinder and a few others",""))))))</f>
        <v/>
      </c>
      <c r="P14" s="22"/>
      <c r="Q14" s="23" t="s">
        <v>100</v>
      </c>
      <c r="R14" s="23" t="str">
        <f aca="false">IF(O14="Only PageBinder",COUNTIF(O$5:O14,"Only PageBinder"),"")</f>
        <v/>
      </c>
      <c r="S14" s="23" t="str">
        <f aca="false">IF(O14="PageBinder and one other",COUNTIF(O$5:O14,"PageBinder and one other"),"")</f>
        <v/>
      </c>
      <c r="T14" s="23" t="str">
        <f aca="false">IF(O14="PageBinder and a few others",COUNTIF(O$5:O14,"PageBinder and a few others"),"")</f>
        <v/>
      </c>
      <c r="U14" s="23" t="str">
        <f aca="false">IF(O14="Most others, not PageBinder",COUNTIF(O$5:O14,"Most others, not PageBinder"),"")</f>
        <v/>
      </c>
      <c r="V14" s="23" t="str">
        <f aca="false">IF(O14="All except PageBinder",COUNTIF(O$5:O14,"All except PageBinder"),"")</f>
        <v/>
      </c>
      <c r="W14" s="23" t="str">
        <f aca="false">IF(O14="Shared by all",COUNTIF(O$5:O14,"Shared by all"),"")</f>
        <v/>
      </c>
    </row>
    <row r="15" customFormat="false" ht="23.85" hidden="false" customHeight="false" outlineLevel="0" collapsed="false">
      <c r="A15" s="19" t="s">
        <v>114</v>
      </c>
      <c r="B15" s="20" t="s">
        <v>86</v>
      </c>
      <c r="C15" s="20" t="s">
        <v>79</v>
      </c>
      <c r="D15" s="20" t="s">
        <v>86</v>
      </c>
      <c r="E15" s="20" t="s">
        <v>115</v>
      </c>
      <c r="F15" s="20" t="s">
        <v>79</v>
      </c>
      <c r="G15" s="20" t="s">
        <v>116</v>
      </c>
      <c r="H15" s="20" t="s">
        <v>79</v>
      </c>
      <c r="I15" s="20" t="s">
        <v>79</v>
      </c>
      <c r="J15" s="20" t="s">
        <v>79</v>
      </c>
      <c r="K15" s="20" t="s">
        <v>79</v>
      </c>
      <c r="L15" s="20" t="s">
        <v>86</v>
      </c>
      <c r="M15" s="20" t="s">
        <v>117</v>
      </c>
      <c r="N15" s="21" t="n">
        <f aca="false">COUNTIF(B15:M15,"Yes*")</f>
        <v>4</v>
      </c>
      <c r="O15" s="21" t="str">
        <f aca="false">IF(COUNTIF(B15:M15,"Yes*")=12,"Shared by all",IF(AND(LEFT(B15,3)="Yes",COUNTIF(B15:M15,"Yes*")=1),"Only PageBinder",IF(AND(LEFT(B15,3)="Yes",COUNTIF(B15:M15,"Yes*")=2),"PageBinder and one other",IF(AND(LEFT(B15,3)&lt;&gt;"Yes",COUNTIF(B15:M15,"Yes*")=11),"All except PageBinder",IF(AND(LEFT(B15,3)&lt;&gt;"Yes",COUNTIF(B15:M15,"Yes*")&gt;=9),"Most others, not PageBinder",IF(AND(LEFT(B15,3)="Yes",COUNTIF(B15:M15,"Yes*")&lt;=4),"PageBinder and a few others",""))))))</f>
        <v>PageBinder and a few others</v>
      </c>
      <c r="P15" s="22"/>
      <c r="Q15" s="23" t="s">
        <v>100</v>
      </c>
      <c r="R15" s="23" t="str">
        <f aca="false">IF(O15="Only PageBinder",COUNTIF(O$5:O15,"Only PageBinder"),"")</f>
        <v/>
      </c>
      <c r="S15" s="23" t="str">
        <f aca="false">IF(O15="PageBinder and one other",COUNTIF(O$5:O15,"PageBinder and one other"),"")</f>
        <v/>
      </c>
      <c r="T15" s="23" t="n">
        <f aca="false">IF(O15="PageBinder and a few others",COUNTIF(O$5:O15,"PageBinder and a few others"),"")</f>
        <v>1</v>
      </c>
      <c r="U15" s="23" t="str">
        <f aca="false">IF(O15="Most others, not PageBinder",COUNTIF(O$5:O15,"Most others, not PageBinder"),"")</f>
        <v/>
      </c>
      <c r="V15" s="23" t="str">
        <f aca="false">IF(O15="All except PageBinder",COUNTIF(O$5:O15,"All except PageBinder"),"")</f>
        <v/>
      </c>
      <c r="W15" s="23" t="str">
        <f aca="false">IF(O15="Shared by all",COUNTIF(O$5:O15,"Shared by all"),"")</f>
        <v/>
      </c>
    </row>
    <row r="16" customFormat="false" ht="35.05" hidden="false" customHeight="false" outlineLevel="0" collapsed="false">
      <c r="A16" s="19" t="s">
        <v>118</v>
      </c>
      <c r="B16" s="20" t="s">
        <v>119</v>
      </c>
      <c r="C16" s="20" t="s">
        <v>120</v>
      </c>
      <c r="D16" s="20" t="s">
        <v>121</v>
      </c>
      <c r="E16" s="20" t="s">
        <v>122</v>
      </c>
      <c r="F16" s="20" t="s">
        <v>123</v>
      </c>
      <c r="G16" s="20" t="s">
        <v>124</v>
      </c>
      <c r="H16" s="20" t="s">
        <v>125</v>
      </c>
      <c r="I16" s="20" t="s">
        <v>125</v>
      </c>
      <c r="J16" s="20" t="s">
        <v>126</v>
      </c>
      <c r="K16" s="20" t="s">
        <v>126</v>
      </c>
      <c r="L16" s="20" t="s">
        <v>127</v>
      </c>
      <c r="M16" s="20" t="s">
        <v>128</v>
      </c>
      <c r="N16" s="21" t="n">
        <f aca="false">COUNTIF(B16:M16,"Yes*")</f>
        <v>4</v>
      </c>
      <c r="O16" s="21" t="str">
        <f aca="false">IF(COUNTIF(B16:M16,"Yes*")=12,"Shared by all",IF(AND(LEFT(B16,3)="Yes",COUNTIF(B16:M16,"Yes*")=1),"Only PageBinder",IF(AND(LEFT(B16,3)="Yes",COUNTIF(B16:M16,"Yes*")=2),"PageBinder and one other",IF(AND(LEFT(B16,3)&lt;&gt;"Yes",COUNTIF(B16:M16,"Yes*")=11),"All except PageBinder",IF(AND(LEFT(B16,3)&lt;&gt;"Yes",COUNTIF(B16:M16,"Yes*")&gt;=9),"Most others, not PageBinder",IF(AND(LEFT(B16,3)="Yes",COUNTIF(B16:M16,"Yes*")&lt;=4),"PageBinder and a few others",""))))))</f>
        <v>PageBinder and a few others</v>
      </c>
      <c r="P16" s="22"/>
      <c r="Q16" s="23" t="s">
        <v>100</v>
      </c>
      <c r="R16" s="23" t="str">
        <f aca="false">IF(O16="Only PageBinder",COUNTIF(O$5:O16,"Only PageBinder"),"")</f>
        <v/>
      </c>
      <c r="S16" s="23" t="str">
        <f aca="false">IF(O16="PageBinder and one other",COUNTIF(O$5:O16,"PageBinder and one other"),"")</f>
        <v/>
      </c>
      <c r="T16" s="23" t="n">
        <f aca="false">IF(O16="PageBinder and a few others",COUNTIF(O$5:O16,"PageBinder and a few others"),"")</f>
        <v>2</v>
      </c>
      <c r="U16" s="23" t="str">
        <f aca="false">IF(O16="Most others, not PageBinder",COUNTIF(O$5:O16,"Most others, not PageBinder"),"")</f>
        <v/>
      </c>
      <c r="V16" s="23" t="str">
        <f aca="false">IF(O16="All except PageBinder",COUNTIF(O$5:O16,"All except PageBinder"),"")</f>
        <v/>
      </c>
      <c r="W16" s="23" t="str">
        <f aca="false">IF(O16="Shared by all",COUNTIF(O$5:O16,"Shared by all"),"")</f>
        <v/>
      </c>
    </row>
    <row r="17" customFormat="false" ht="35.05" hidden="false" customHeight="false" outlineLevel="0" collapsed="false">
      <c r="A17" s="19" t="s">
        <v>129</v>
      </c>
      <c r="B17" s="20" t="s">
        <v>130</v>
      </c>
      <c r="C17" s="20" t="s">
        <v>131</v>
      </c>
      <c r="D17" s="20" t="s">
        <v>86</v>
      </c>
      <c r="E17" s="20" t="s">
        <v>132</v>
      </c>
      <c r="F17" s="20" t="s">
        <v>133</v>
      </c>
      <c r="G17" s="20" t="s">
        <v>134</v>
      </c>
      <c r="H17" s="20" t="s">
        <v>79</v>
      </c>
      <c r="I17" s="20" t="s">
        <v>79</v>
      </c>
      <c r="J17" s="20" t="s">
        <v>79</v>
      </c>
      <c r="K17" s="20" t="s">
        <v>79</v>
      </c>
      <c r="L17" s="20" t="s">
        <v>135</v>
      </c>
      <c r="M17" s="20" t="s">
        <v>79</v>
      </c>
      <c r="N17" s="21" t="n">
        <f aca="false">COUNTIF(B17:M17,"Yes*")</f>
        <v>5</v>
      </c>
      <c r="O17" s="21" t="str">
        <f aca="false">IF(COUNTIF(B17:M17,"Yes*")=12,"Shared by all",IF(AND(LEFT(B17,3)="Yes",COUNTIF(B17:M17,"Yes*")=1),"Only PageBinder",IF(AND(LEFT(B17,3)="Yes",COUNTIF(B17:M17,"Yes*")=2),"PageBinder and one other",IF(AND(LEFT(B17,3)&lt;&gt;"Yes",COUNTIF(B17:M17,"Yes*")=11),"All except PageBinder",IF(AND(LEFT(B17,3)&lt;&gt;"Yes",COUNTIF(B17:M17,"Yes*")&gt;=9),"Most others, not PageBinder",IF(AND(LEFT(B17,3)="Yes",COUNTIF(B17:M17,"Yes*")&lt;=4),"PageBinder and a few others",""))))))</f>
        <v/>
      </c>
      <c r="P17" s="22"/>
      <c r="Q17" s="23" t="s">
        <v>100</v>
      </c>
      <c r="R17" s="23" t="str">
        <f aca="false">IF(O17="Only PageBinder",COUNTIF(O$5:O17,"Only PageBinder"),"")</f>
        <v/>
      </c>
      <c r="S17" s="23" t="str">
        <f aca="false">IF(O17="PageBinder and one other",COUNTIF(O$5:O17,"PageBinder and one other"),"")</f>
        <v/>
      </c>
      <c r="T17" s="23" t="str">
        <f aca="false">IF(O17="PageBinder and a few others",COUNTIF(O$5:O17,"PageBinder and a few others"),"")</f>
        <v/>
      </c>
      <c r="U17" s="23" t="str">
        <f aca="false">IF(O17="Most others, not PageBinder",COUNTIF(O$5:O17,"Most others, not PageBinder"),"")</f>
        <v/>
      </c>
      <c r="V17" s="23" t="str">
        <f aca="false">IF(O17="All except PageBinder",COUNTIF(O$5:O17,"All except PageBinder"),"")</f>
        <v/>
      </c>
      <c r="W17" s="23" t="str">
        <f aca="false">IF(O17="Shared by all",COUNTIF(O$5:O17,"Shared by all"),"")</f>
        <v/>
      </c>
    </row>
    <row r="18" customFormat="false" ht="35.05" hidden="false" customHeight="false" outlineLevel="0" collapsed="false">
      <c r="A18" s="19" t="s">
        <v>136</v>
      </c>
      <c r="B18" s="20" t="s">
        <v>137</v>
      </c>
      <c r="C18" s="20" t="s">
        <v>138</v>
      </c>
      <c r="D18" s="20" t="s">
        <v>86</v>
      </c>
      <c r="E18" s="20" t="s">
        <v>86</v>
      </c>
      <c r="F18" s="20" t="s">
        <v>139</v>
      </c>
      <c r="G18" s="20" t="s">
        <v>86</v>
      </c>
      <c r="H18" s="20" t="s">
        <v>140</v>
      </c>
      <c r="I18" s="20" t="s">
        <v>141</v>
      </c>
      <c r="J18" s="20" t="s">
        <v>142</v>
      </c>
      <c r="K18" s="20" t="s">
        <v>143</v>
      </c>
      <c r="L18" s="20" t="s">
        <v>86</v>
      </c>
      <c r="M18" s="20" t="s">
        <v>144</v>
      </c>
      <c r="N18" s="21" t="n">
        <f aca="false">COUNTIF(B18:M18,"Yes*")</f>
        <v>6</v>
      </c>
      <c r="O18" s="21" t="str">
        <f aca="false">IF(COUNTIF(B18:M18,"Yes*")=12,"Shared by all",IF(AND(LEFT(B18,3)="Yes",COUNTIF(B18:M18,"Yes*")=1),"Only PageBinder",IF(AND(LEFT(B18,3)="Yes",COUNTIF(B18:M18,"Yes*")=2),"PageBinder and one other",IF(AND(LEFT(B18,3)&lt;&gt;"Yes",COUNTIF(B18:M18,"Yes*")=11),"All except PageBinder",IF(AND(LEFT(B18,3)&lt;&gt;"Yes",COUNTIF(B18:M18,"Yes*")&gt;=9),"Most others, not PageBinder",IF(AND(LEFT(B18,3)="Yes",COUNTIF(B18:M18,"Yes*")&lt;=4),"PageBinder and a few others",""))))))</f>
        <v/>
      </c>
      <c r="P18" s="22"/>
      <c r="Q18" s="23" t="s">
        <v>100</v>
      </c>
      <c r="R18" s="23" t="str">
        <f aca="false">IF(O18="Only PageBinder",COUNTIF(O$5:O18,"Only PageBinder"),"")</f>
        <v/>
      </c>
      <c r="S18" s="23" t="str">
        <f aca="false">IF(O18="PageBinder and one other",COUNTIF(O$5:O18,"PageBinder and one other"),"")</f>
        <v/>
      </c>
      <c r="T18" s="23" t="str">
        <f aca="false">IF(O18="PageBinder and a few others",COUNTIF(O$5:O18,"PageBinder and a few others"),"")</f>
        <v/>
      </c>
      <c r="U18" s="23" t="str">
        <f aca="false">IF(O18="Most others, not PageBinder",COUNTIF(O$5:O18,"Most others, not PageBinder"),"")</f>
        <v/>
      </c>
      <c r="V18" s="23" t="str">
        <f aca="false">IF(O18="All except PageBinder",COUNTIF(O$5:O18,"All except PageBinder"),"")</f>
        <v/>
      </c>
      <c r="W18" s="23" t="str">
        <f aca="false">IF(O18="Shared by all",COUNTIF(O$5:O18,"Shared by all"),"")</f>
        <v/>
      </c>
    </row>
    <row r="19" customFormat="false" ht="35.05" hidden="false" customHeight="false" outlineLevel="0" collapsed="false">
      <c r="A19" s="19" t="s">
        <v>145</v>
      </c>
      <c r="B19" s="20" t="s">
        <v>146</v>
      </c>
      <c r="C19" s="20" t="s">
        <v>147</v>
      </c>
      <c r="D19" s="20" t="s">
        <v>86</v>
      </c>
      <c r="E19" s="20" t="s">
        <v>86</v>
      </c>
      <c r="F19" s="20" t="s">
        <v>148</v>
      </c>
      <c r="G19" s="20" t="s">
        <v>149</v>
      </c>
      <c r="H19" s="20" t="s">
        <v>150</v>
      </c>
      <c r="I19" s="20" t="s">
        <v>79</v>
      </c>
      <c r="J19" s="20" t="s">
        <v>151</v>
      </c>
      <c r="K19" s="20" t="s">
        <v>151</v>
      </c>
      <c r="L19" s="20" t="s">
        <v>86</v>
      </c>
      <c r="M19" s="20" t="s">
        <v>86</v>
      </c>
      <c r="N19" s="21" t="n">
        <f aca="false">COUNTIF(B19:M19,"Yes*")</f>
        <v>6</v>
      </c>
      <c r="O19" s="21" t="str">
        <f aca="false">IF(COUNTIF(B19:M19,"Yes*")=12,"Shared by all",IF(AND(LEFT(B19,3)="Yes",COUNTIF(B19:M19,"Yes*")=1),"Only PageBinder",IF(AND(LEFT(B19,3)="Yes",COUNTIF(B19:M19,"Yes*")=2),"PageBinder and one other",IF(AND(LEFT(B19,3)&lt;&gt;"Yes",COUNTIF(B19:M19,"Yes*")=11),"All except PageBinder",IF(AND(LEFT(B19,3)&lt;&gt;"Yes",COUNTIF(B19:M19,"Yes*")&gt;=9),"Most others, not PageBinder",IF(AND(LEFT(B19,3)="Yes",COUNTIF(B19:M19,"Yes*")&lt;=4),"PageBinder and a few others",""))))))</f>
        <v/>
      </c>
      <c r="P19" s="22"/>
      <c r="Q19" s="23" t="s">
        <v>100</v>
      </c>
      <c r="R19" s="23" t="str">
        <f aca="false">IF(O19="Only PageBinder",COUNTIF(O$5:O19,"Only PageBinder"),"")</f>
        <v/>
      </c>
      <c r="S19" s="23" t="str">
        <f aca="false">IF(O19="PageBinder and one other",COUNTIF(O$5:O19,"PageBinder and one other"),"")</f>
        <v/>
      </c>
      <c r="T19" s="23" t="str">
        <f aca="false">IF(O19="PageBinder and a few others",COUNTIF(O$5:O19,"PageBinder and a few others"),"")</f>
        <v/>
      </c>
      <c r="U19" s="23" t="str">
        <f aca="false">IF(O19="Most others, not PageBinder",COUNTIF(O$5:O19,"Most others, not PageBinder"),"")</f>
        <v/>
      </c>
      <c r="V19" s="23" t="str">
        <f aca="false">IF(O19="All except PageBinder",COUNTIF(O$5:O19,"All except PageBinder"),"")</f>
        <v/>
      </c>
      <c r="W19" s="23" t="str">
        <f aca="false">IF(O19="Shared by all",COUNTIF(O$5:O19,"Shared by all"),"")</f>
        <v/>
      </c>
    </row>
    <row r="20" customFormat="false" ht="23.85" hidden="false" customHeight="false" outlineLevel="0" collapsed="false">
      <c r="A20" s="19" t="s">
        <v>152</v>
      </c>
      <c r="B20" s="20" t="s">
        <v>153</v>
      </c>
      <c r="C20" s="20" t="s">
        <v>86</v>
      </c>
      <c r="D20" s="20" t="s">
        <v>86</v>
      </c>
      <c r="E20" s="20" t="s">
        <v>86</v>
      </c>
      <c r="F20" s="20" t="s">
        <v>86</v>
      </c>
      <c r="G20" s="20" t="s">
        <v>86</v>
      </c>
      <c r="H20" s="20" t="s">
        <v>154</v>
      </c>
      <c r="I20" s="20" t="s">
        <v>154</v>
      </c>
      <c r="J20" s="20" t="s">
        <v>154</v>
      </c>
      <c r="K20" s="20" t="s">
        <v>155</v>
      </c>
      <c r="L20" s="20" t="s">
        <v>86</v>
      </c>
      <c r="M20" s="20" t="s">
        <v>86</v>
      </c>
      <c r="N20" s="21" t="n">
        <f aca="false">COUNTIF(B20:M20,"Yes*")</f>
        <v>12</v>
      </c>
      <c r="O20" s="21" t="str">
        <f aca="false">IF(COUNTIF(B20:M20,"Yes*")=12,"Shared by all",IF(AND(LEFT(B20,3)="Yes",COUNTIF(B20:M20,"Yes*")=1),"Only PageBinder",IF(AND(LEFT(B20,3)="Yes",COUNTIF(B20:M20,"Yes*")=2),"PageBinder and one other",IF(AND(LEFT(B20,3)&lt;&gt;"Yes",COUNTIF(B20:M20,"Yes*")=11),"All except PageBinder",IF(AND(LEFT(B20,3)&lt;&gt;"Yes",COUNTIF(B20:M20,"Yes*")&gt;=9),"Most others, not PageBinder",IF(AND(LEFT(B20,3)="Yes",COUNTIF(B20:M20,"Yes*")&lt;=4),"PageBinder and a few others",""))))))</f>
        <v>Shared by all</v>
      </c>
      <c r="P20" s="22"/>
      <c r="Q20" s="23" t="s">
        <v>100</v>
      </c>
      <c r="R20" s="23" t="str">
        <f aca="false">IF(O20="Only PageBinder",COUNTIF(O$5:O20,"Only PageBinder"),"")</f>
        <v/>
      </c>
      <c r="S20" s="23" t="str">
        <f aca="false">IF(O20="PageBinder and one other",COUNTIF(O$5:O20,"PageBinder and one other"),"")</f>
        <v/>
      </c>
      <c r="T20" s="23" t="str">
        <f aca="false">IF(O20="PageBinder and a few others",COUNTIF(O$5:O20,"PageBinder and a few others"),"")</f>
        <v/>
      </c>
      <c r="U20" s="23" t="str">
        <f aca="false">IF(O20="Most others, not PageBinder",COUNTIF(O$5:O20,"Most others, not PageBinder"),"")</f>
        <v/>
      </c>
      <c r="V20" s="23" t="str">
        <f aca="false">IF(O20="All except PageBinder",COUNTIF(O$5:O20,"All except PageBinder"),"")</f>
        <v/>
      </c>
      <c r="W20" s="23" t="n">
        <f aca="false">IF(O20="Shared by all",COUNTIF(O$5:O20,"Shared by all"),"")</f>
        <v>2</v>
      </c>
    </row>
    <row r="21" customFormat="false" ht="15" hidden="false" customHeight="false" outlineLevel="0" collapsed="false">
      <c r="A21" s="17" t="s">
        <v>156</v>
      </c>
      <c r="B21" s="17"/>
      <c r="C21" s="17"/>
      <c r="D21" s="17"/>
      <c r="E21" s="17"/>
      <c r="F21" s="17"/>
      <c r="G21" s="17"/>
      <c r="H21" s="17"/>
      <c r="I21" s="17"/>
      <c r="J21" s="17"/>
      <c r="K21" s="17"/>
      <c r="L21" s="17"/>
      <c r="M21" s="17"/>
      <c r="N21" s="17"/>
      <c r="O21" s="17"/>
      <c r="P21" s="17"/>
      <c r="Q21" s="18" t="s">
        <v>156</v>
      </c>
    </row>
    <row r="22" customFormat="false" ht="35.05" hidden="false" customHeight="false" outlineLevel="0" collapsed="false">
      <c r="A22" s="19" t="s">
        <v>157</v>
      </c>
      <c r="B22" s="20" t="s">
        <v>158</v>
      </c>
      <c r="C22" s="20" t="s">
        <v>159</v>
      </c>
      <c r="D22" s="20" t="s">
        <v>160</v>
      </c>
      <c r="E22" s="20" t="s">
        <v>161</v>
      </c>
      <c r="F22" s="20" t="s">
        <v>162</v>
      </c>
      <c r="G22" s="20" t="s">
        <v>163</v>
      </c>
      <c r="H22" s="20" t="s">
        <v>164</v>
      </c>
      <c r="I22" s="20" t="s">
        <v>165</v>
      </c>
      <c r="J22" s="20" t="s">
        <v>166</v>
      </c>
      <c r="K22" s="20" t="s">
        <v>167</v>
      </c>
      <c r="L22" s="20" t="s">
        <v>168</v>
      </c>
      <c r="M22" s="20" t="s">
        <v>169</v>
      </c>
      <c r="N22" s="21" t="n">
        <f aca="false">COUNTIF(B22:M22,"Yes*")</f>
        <v>0</v>
      </c>
      <c r="O22" s="21" t="str">
        <f aca="false">IF(COUNTIF(B22:M22,"Yes*")=12,"Shared by all",IF(AND(LEFT(B22,3)="Yes",COUNTIF(B22:M22,"Yes*")=1),"Only PageBinder",IF(AND(LEFT(B22,3)="Yes",COUNTIF(B22:M22,"Yes*")=2),"PageBinder and one other",IF(AND(LEFT(B22,3)&lt;&gt;"Yes",COUNTIF(B22:M22,"Yes*")=11),"All except PageBinder",IF(AND(LEFT(B22,3)&lt;&gt;"Yes",COUNTIF(B22:M22,"Yes*")&gt;=9),"Most others, not PageBinder",IF(AND(LEFT(B22,3)="Yes",COUNTIF(B22:M22,"Yes*")&lt;=4),"PageBinder and a few others",""))))))</f>
        <v/>
      </c>
      <c r="P22" s="22"/>
      <c r="Q22" s="23" t="s">
        <v>156</v>
      </c>
      <c r="R22" s="23" t="str">
        <f aca="false">IF(O22="Only PageBinder",COUNTIF(O$5:O22,"Only PageBinder"),"")</f>
        <v/>
      </c>
      <c r="S22" s="23" t="str">
        <f aca="false">IF(O22="PageBinder and one other",COUNTIF(O$5:O22,"PageBinder and one other"),"")</f>
        <v/>
      </c>
      <c r="T22" s="23" t="str">
        <f aca="false">IF(O22="PageBinder and a few others",COUNTIF(O$5:O22,"PageBinder and a few others"),"")</f>
        <v/>
      </c>
      <c r="U22" s="23" t="str">
        <f aca="false">IF(O22="Most others, not PageBinder",COUNTIF(O$5:O22,"Most others, not PageBinder"),"")</f>
        <v/>
      </c>
      <c r="V22" s="23" t="str">
        <f aca="false">IF(O22="All except PageBinder",COUNTIF(O$5:O22,"All except PageBinder"),"")</f>
        <v/>
      </c>
      <c r="W22" s="23" t="str">
        <f aca="false">IF(O22="Shared by all",COUNTIF(O$5:O22,"Shared by all"),"")</f>
        <v/>
      </c>
    </row>
    <row r="23" customFormat="false" ht="23.85" hidden="false" customHeight="false" outlineLevel="0" collapsed="false">
      <c r="A23" s="19" t="s">
        <v>170</v>
      </c>
      <c r="B23" s="20" t="s">
        <v>79</v>
      </c>
      <c r="C23" s="20" t="s">
        <v>86</v>
      </c>
      <c r="D23" s="20" t="s">
        <v>86</v>
      </c>
      <c r="E23" s="20" t="s">
        <v>86</v>
      </c>
      <c r="F23" s="20" t="s">
        <v>171</v>
      </c>
      <c r="G23" s="20" t="s">
        <v>86</v>
      </c>
      <c r="H23" s="20" t="s">
        <v>86</v>
      </c>
      <c r="I23" s="20" t="s">
        <v>172</v>
      </c>
      <c r="J23" s="20" t="s">
        <v>173</v>
      </c>
      <c r="K23" s="20" t="s">
        <v>86</v>
      </c>
      <c r="L23" s="20" t="s">
        <v>86</v>
      </c>
      <c r="M23" s="20" t="s">
        <v>79</v>
      </c>
      <c r="N23" s="21" t="n">
        <f aca="false">COUNTIF(B23:M23,"Yes*")</f>
        <v>9</v>
      </c>
      <c r="O23" s="21" t="str">
        <f aca="false">IF(COUNTIF(B23:M23,"Yes*")=12,"Shared by all",IF(AND(LEFT(B23,3)="Yes",COUNTIF(B23:M23,"Yes*")=1),"Only PageBinder",IF(AND(LEFT(B23,3)="Yes",COUNTIF(B23:M23,"Yes*")=2),"PageBinder and one other",IF(AND(LEFT(B23,3)&lt;&gt;"Yes",COUNTIF(B23:M23,"Yes*")=11),"All except PageBinder",IF(AND(LEFT(B23,3)&lt;&gt;"Yes",COUNTIF(B23:M23,"Yes*")&gt;=9),"Most others, not PageBinder",IF(AND(LEFT(B23,3)="Yes",COUNTIF(B23:M23,"Yes*")&lt;=4),"PageBinder and a few others",""))))))</f>
        <v>Most others, not PageBinder</v>
      </c>
      <c r="P23" s="22"/>
      <c r="Q23" s="23" t="s">
        <v>156</v>
      </c>
      <c r="R23" s="23" t="str">
        <f aca="false">IF(O23="Only PageBinder",COUNTIF(O$5:O23,"Only PageBinder"),"")</f>
        <v/>
      </c>
      <c r="S23" s="23" t="str">
        <f aca="false">IF(O23="PageBinder and one other",COUNTIF(O$5:O23,"PageBinder and one other"),"")</f>
        <v/>
      </c>
      <c r="T23" s="23" t="str">
        <f aca="false">IF(O23="PageBinder and a few others",COUNTIF(O$5:O23,"PageBinder and a few others"),"")</f>
        <v/>
      </c>
      <c r="U23" s="23" t="n">
        <f aca="false">IF(O23="Most others, not PageBinder",COUNTIF(O$5:O23,"Most others, not PageBinder"),"")</f>
        <v>1</v>
      </c>
      <c r="V23" s="23" t="str">
        <f aca="false">IF(O23="All except PageBinder",COUNTIF(O$5:O23,"All except PageBinder"),"")</f>
        <v/>
      </c>
      <c r="W23" s="23" t="str">
        <f aca="false">IF(O23="Shared by all",COUNTIF(O$5:O23,"Shared by all"),"")</f>
        <v/>
      </c>
    </row>
    <row r="24" customFormat="false" ht="23.85" hidden="false" customHeight="false" outlineLevel="0" collapsed="false">
      <c r="A24" s="19" t="s">
        <v>174</v>
      </c>
      <c r="B24" s="20" t="s">
        <v>79</v>
      </c>
      <c r="C24" s="20" t="s">
        <v>175</v>
      </c>
      <c r="D24" s="20" t="s">
        <v>86</v>
      </c>
      <c r="E24" s="20" t="s">
        <v>86</v>
      </c>
      <c r="F24" s="20" t="s">
        <v>86</v>
      </c>
      <c r="G24" s="20" t="s">
        <v>86</v>
      </c>
      <c r="H24" s="20" t="s">
        <v>86</v>
      </c>
      <c r="I24" s="20" t="s">
        <v>176</v>
      </c>
      <c r="J24" s="20" t="s">
        <v>86</v>
      </c>
      <c r="K24" s="20" t="s">
        <v>177</v>
      </c>
      <c r="L24" s="20" t="s">
        <v>86</v>
      </c>
      <c r="M24" s="20" t="s">
        <v>79</v>
      </c>
      <c r="N24" s="21" t="n">
        <f aca="false">COUNTIF(B24:M24,"Yes*")</f>
        <v>7</v>
      </c>
      <c r="O24" s="21" t="str">
        <f aca="false">IF(COUNTIF(B24:M24,"Yes*")=12,"Shared by all",IF(AND(LEFT(B24,3)="Yes",COUNTIF(B24:M24,"Yes*")=1),"Only PageBinder",IF(AND(LEFT(B24,3)="Yes",COUNTIF(B24:M24,"Yes*")=2),"PageBinder and one other",IF(AND(LEFT(B24,3)&lt;&gt;"Yes",COUNTIF(B24:M24,"Yes*")=11),"All except PageBinder",IF(AND(LEFT(B24,3)&lt;&gt;"Yes",COUNTIF(B24:M24,"Yes*")&gt;=9),"Most others, not PageBinder",IF(AND(LEFT(B24,3)="Yes",COUNTIF(B24:M24,"Yes*")&lt;=4),"PageBinder and a few others",""))))))</f>
        <v/>
      </c>
      <c r="P24" s="22"/>
      <c r="Q24" s="23" t="s">
        <v>156</v>
      </c>
      <c r="R24" s="23" t="str">
        <f aca="false">IF(O24="Only PageBinder",COUNTIF(O$5:O24,"Only PageBinder"),"")</f>
        <v/>
      </c>
      <c r="S24" s="23" t="str">
        <f aca="false">IF(O24="PageBinder and one other",COUNTIF(O$5:O24,"PageBinder and one other"),"")</f>
        <v/>
      </c>
      <c r="T24" s="23" t="str">
        <f aca="false">IF(O24="PageBinder and a few others",COUNTIF(O$5:O24,"PageBinder and a few others"),"")</f>
        <v/>
      </c>
      <c r="U24" s="23" t="str">
        <f aca="false">IF(O24="Most others, not PageBinder",COUNTIF(O$5:O24,"Most others, not PageBinder"),"")</f>
        <v/>
      </c>
      <c r="V24" s="23" t="str">
        <f aca="false">IF(O24="All except PageBinder",COUNTIF(O$5:O24,"All except PageBinder"),"")</f>
        <v/>
      </c>
      <c r="W24" s="23" t="str">
        <f aca="false">IF(O24="Shared by all",COUNTIF(O$5:O24,"Shared by all"),"")</f>
        <v/>
      </c>
    </row>
    <row r="25" customFormat="false" ht="15" hidden="false" customHeight="false" outlineLevel="0" collapsed="false">
      <c r="A25" s="19" t="s">
        <v>178</v>
      </c>
      <c r="B25" s="20" t="s">
        <v>79</v>
      </c>
      <c r="C25" s="20" t="s">
        <v>179</v>
      </c>
      <c r="D25" s="20" t="s">
        <v>86</v>
      </c>
      <c r="E25" s="20" t="s">
        <v>86</v>
      </c>
      <c r="F25" s="20" t="s">
        <v>180</v>
      </c>
      <c r="G25" s="20" t="s">
        <v>86</v>
      </c>
      <c r="H25" s="20" t="s">
        <v>79</v>
      </c>
      <c r="I25" s="20" t="s">
        <v>79</v>
      </c>
      <c r="J25" s="20" t="s">
        <v>86</v>
      </c>
      <c r="K25" s="20" t="s">
        <v>79</v>
      </c>
      <c r="L25" s="20" t="s">
        <v>79</v>
      </c>
      <c r="M25" s="20" t="s">
        <v>79</v>
      </c>
      <c r="N25" s="21" t="n">
        <f aca="false">COUNTIF(B25:M25,"Yes*")</f>
        <v>5</v>
      </c>
      <c r="O25" s="21" t="str">
        <f aca="false">IF(COUNTIF(B25:M25,"Yes*")=12,"Shared by all",IF(AND(LEFT(B25,3)="Yes",COUNTIF(B25:M25,"Yes*")=1),"Only PageBinder",IF(AND(LEFT(B25,3)="Yes",COUNTIF(B25:M25,"Yes*")=2),"PageBinder and one other",IF(AND(LEFT(B25,3)&lt;&gt;"Yes",COUNTIF(B25:M25,"Yes*")=11),"All except PageBinder",IF(AND(LEFT(B25,3)&lt;&gt;"Yes",COUNTIF(B25:M25,"Yes*")&gt;=9),"Most others, not PageBinder",IF(AND(LEFT(B25,3)="Yes",COUNTIF(B25:M25,"Yes*")&lt;=4),"PageBinder and a few others",""))))))</f>
        <v/>
      </c>
      <c r="P25" s="22"/>
      <c r="Q25" s="23" t="s">
        <v>156</v>
      </c>
      <c r="R25" s="23" t="str">
        <f aca="false">IF(O25="Only PageBinder",COUNTIF(O$5:O25,"Only PageBinder"),"")</f>
        <v/>
      </c>
      <c r="S25" s="23" t="str">
        <f aca="false">IF(O25="PageBinder and one other",COUNTIF(O$5:O25,"PageBinder and one other"),"")</f>
        <v/>
      </c>
      <c r="T25" s="23" t="str">
        <f aca="false">IF(O25="PageBinder and a few others",COUNTIF(O$5:O25,"PageBinder and a few others"),"")</f>
        <v/>
      </c>
      <c r="U25" s="23" t="str">
        <f aca="false">IF(O25="Most others, not PageBinder",COUNTIF(O$5:O25,"Most others, not PageBinder"),"")</f>
        <v/>
      </c>
      <c r="V25" s="23" t="str">
        <f aca="false">IF(O25="All except PageBinder",COUNTIF(O$5:O25,"All except PageBinder"),"")</f>
        <v/>
      </c>
      <c r="W25" s="23" t="str">
        <f aca="false">IF(O25="Shared by all",COUNTIF(O$5:O25,"Shared by all"),"")</f>
        <v/>
      </c>
    </row>
    <row r="26" customFormat="false" ht="15" hidden="false" customHeight="false" outlineLevel="0" collapsed="false">
      <c r="A26" s="19" t="s">
        <v>181</v>
      </c>
      <c r="B26" s="20" t="s">
        <v>79</v>
      </c>
      <c r="C26" s="20" t="s">
        <v>79</v>
      </c>
      <c r="D26" s="20" t="s">
        <v>179</v>
      </c>
      <c r="E26" s="20" t="s">
        <v>86</v>
      </c>
      <c r="F26" s="20" t="s">
        <v>79</v>
      </c>
      <c r="G26" s="20" t="s">
        <v>86</v>
      </c>
      <c r="H26" s="20" t="s">
        <v>182</v>
      </c>
      <c r="I26" s="20" t="s">
        <v>182</v>
      </c>
      <c r="J26" s="20" t="s">
        <v>86</v>
      </c>
      <c r="K26" s="20" t="s">
        <v>79</v>
      </c>
      <c r="L26" s="20" t="s">
        <v>79</v>
      </c>
      <c r="M26" s="20" t="s">
        <v>79</v>
      </c>
      <c r="N26" s="21" t="n">
        <f aca="false">COUNTIF(B26:M26,"Yes*")</f>
        <v>3</v>
      </c>
      <c r="O26" s="21" t="str">
        <f aca="false">IF(COUNTIF(B26:M26,"Yes*")=12,"Shared by all",IF(AND(LEFT(B26,3)="Yes",COUNTIF(B26:M26,"Yes*")=1),"Only PageBinder",IF(AND(LEFT(B26,3)="Yes",COUNTIF(B26:M26,"Yes*")=2),"PageBinder and one other",IF(AND(LEFT(B26,3)&lt;&gt;"Yes",COUNTIF(B26:M26,"Yes*")=11),"All except PageBinder",IF(AND(LEFT(B26,3)&lt;&gt;"Yes",COUNTIF(B26:M26,"Yes*")&gt;=9),"Most others, not PageBinder",IF(AND(LEFT(B26,3)="Yes",COUNTIF(B26:M26,"Yes*")&lt;=4),"PageBinder and a few others",""))))))</f>
        <v/>
      </c>
      <c r="P26" s="22"/>
      <c r="Q26" s="23" t="s">
        <v>156</v>
      </c>
      <c r="R26" s="23" t="str">
        <f aca="false">IF(O26="Only PageBinder",COUNTIF(O$5:O26,"Only PageBinder"),"")</f>
        <v/>
      </c>
      <c r="S26" s="23" t="str">
        <f aca="false">IF(O26="PageBinder and one other",COUNTIF(O$5:O26,"PageBinder and one other"),"")</f>
        <v/>
      </c>
      <c r="T26" s="23" t="str">
        <f aca="false">IF(O26="PageBinder and a few others",COUNTIF(O$5:O26,"PageBinder and a few others"),"")</f>
        <v/>
      </c>
      <c r="U26" s="23" t="str">
        <f aca="false">IF(O26="Most others, not PageBinder",COUNTIF(O$5:O26,"Most others, not PageBinder"),"")</f>
        <v/>
      </c>
      <c r="V26" s="23" t="str">
        <f aca="false">IF(O26="All except PageBinder",COUNTIF(O$5:O26,"All except PageBinder"),"")</f>
        <v/>
      </c>
      <c r="W26" s="23" t="str">
        <f aca="false">IF(O26="Shared by all",COUNTIF(O$5:O26,"Shared by all"),"")</f>
        <v/>
      </c>
    </row>
    <row r="27" customFormat="false" ht="15" hidden="false" customHeight="false" outlineLevel="0" collapsed="false">
      <c r="A27" s="17" t="s">
        <v>183</v>
      </c>
      <c r="B27" s="17"/>
      <c r="C27" s="17"/>
      <c r="D27" s="17"/>
      <c r="E27" s="17"/>
      <c r="F27" s="17"/>
      <c r="G27" s="17"/>
      <c r="H27" s="17"/>
      <c r="I27" s="17"/>
      <c r="J27" s="17"/>
      <c r="K27" s="17"/>
      <c r="L27" s="17"/>
      <c r="M27" s="17"/>
      <c r="N27" s="17"/>
      <c r="O27" s="17"/>
      <c r="P27" s="17"/>
      <c r="Q27" s="18" t="s">
        <v>183</v>
      </c>
    </row>
    <row r="28" customFormat="false" ht="23.85" hidden="false" customHeight="false" outlineLevel="0" collapsed="false">
      <c r="A28" s="19" t="s">
        <v>184</v>
      </c>
      <c r="B28" s="20" t="s">
        <v>185</v>
      </c>
      <c r="C28" s="20" t="s">
        <v>79</v>
      </c>
      <c r="D28" s="20" t="s">
        <v>186</v>
      </c>
      <c r="E28" s="20" t="s">
        <v>187</v>
      </c>
      <c r="F28" s="20" t="s">
        <v>188</v>
      </c>
      <c r="G28" s="20" t="s">
        <v>79</v>
      </c>
      <c r="H28" s="20" t="s">
        <v>189</v>
      </c>
      <c r="I28" s="20" t="s">
        <v>79</v>
      </c>
      <c r="J28" s="20" t="s">
        <v>79</v>
      </c>
      <c r="K28" s="20" t="s">
        <v>79</v>
      </c>
      <c r="L28" s="20" t="s">
        <v>79</v>
      </c>
      <c r="M28" s="20" t="s">
        <v>190</v>
      </c>
      <c r="N28" s="21" t="n">
        <f aca="false">COUNTIF(B28:M28,"Yes*")</f>
        <v>3</v>
      </c>
      <c r="O28" s="21" t="str">
        <f aca="false">IF(COUNTIF(B28:M28,"Yes*")=12,"Shared by all",IF(AND(LEFT(B28,3)="Yes",COUNTIF(B28:M28,"Yes*")=1),"Only PageBinder",IF(AND(LEFT(B28,3)="Yes",COUNTIF(B28:M28,"Yes*")=2),"PageBinder and one other",IF(AND(LEFT(B28,3)&lt;&gt;"Yes",COUNTIF(B28:M28,"Yes*")=11),"All except PageBinder",IF(AND(LEFT(B28,3)&lt;&gt;"Yes",COUNTIF(B28:M28,"Yes*")&gt;=9),"Most others, not PageBinder",IF(AND(LEFT(B28,3)="Yes",COUNTIF(B28:M28,"Yes*")&lt;=4),"PageBinder and a few others",""))))))</f>
        <v>PageBinder and a few others</v>
      </c>
      <c r="P28" s="22"/>
      <c r="Q28" s="23" t="s">
        <v>183</v>
      </c>
      <c r="R28" s="23" t="str">
        <f aca="false">IF(O28="Only PageBinder",COUNTIF(O$5:O28,"Only PageBinder"),"")</f>
        <v/>
      </c>
      <c r="S28" s="23" t="str">
        <f aca="false">IF(O28="PageBinder and one other",COUNTIF(O$5:O28,"PageBinder and one other"),"")</f>
        <v/>
      </c>
      <c r="T28" s="23" t="n">
        <f aca="false">IF(O28="PageBinder and a few others",COUNTIF(O$5:O28,"PageBinder and a few others"),"")</f>
        <v>3</v>
      </c>
      <c r="U28" s="23" t="str">
        <f aca="false">IF(O28="Most others, not PageBinder",COUNTIF(O$5:O28,"Most others, not PageBinder"),"")</f>
        <v/>
      </c>
      <c r="V28" s="23" t="str">
        <f aca="false">IF(O28="All except PageBinder",COUNTIF(O$5:O28,"All except PageBinder"),"")</f>
        <v/>
      </c>
      <c r="W28" s="23" t="str">
        <f aca="false">IF(O28="Shared by all",COUNTIF(O$5:O28,"Shared by all"),"")</f>
        <v/>
      </c>
    </row>
    <row r="29" customFormat="false" ht="23.85" hidden="false" customHeight="false" outlineLevel="0" collapsed="false">
      <c r="A29" s="19" t="s">
        <v>191</v>
      </c>
      <c r="B29" s="20" t="s">
        <v>192</v>
      </c>
      <c r="C29" s="20" t="s">
        <v>193</v>
      </c>
      <c r="D29" s="20" t="s">
        <v>194</v>
      </c>
      <c r="E29" s="20" t="s">
        <v>195</v>
      </c>
      <c r="F29" s="20" t="s">
        <v>196</v>
      </c>
      <c r="G29" s="20" t="s">
        <v>197</v>
      </c>
      <c r="H29" s="20" t="s">
        <v>198</v>
      </c>
      <c r="I29" s="20" t="s">
        <v>198</v>
      </c>
      <c r="J29" s="20" t="s">
        <v>198</v>
      </c>
      <c r="K29" s="20" t="s">
        <v>199</v>
      </c>
      <c r="L29" s="20" t="s">
        <v>200</v>
      </c>
      <c r="M29" s="20" t="s">
        <v>201</v>
      </c>
      <c r="N29" s="21" t="n">
        <f aca="false">COUNTIF(B29:M29,"Yes*")</f>
        <v>0</v>
      </c>
      <c r="O29" s="21" t="str">
        <f aca="false">IF(COUNTIF(B29:M29,"Yes*")=12,"Shared by all",IF(AND(LEFT(B29,3)="Yes",COUNTIF(B29:M29,"Yes*")=1),"Only PageBinder",IF(AND(LEFT(B29,3)="Yes",COUNTIF(B29:M29,"Yes*")=2),"PageBinder and one other",IF(AND(LEFT(B29,3)&lt;&gt;"Yes",COUNTIF(B29:M29,"Yes*")=11),"All except PageBinder",IF(AND(LEFT(B29,3)&lt;&gt;"Yes",COUNTIF(B29:M29,"Yes*")&gt;=9),"Most others, not PageBinder",IF(AND(LEFT(B29,3)="Yes",COUNTIF(B29:M29,"Yes*")&lt;=4),"PageBinder and a few others",""))))))</f>
        <v/>
      </c>
      <c r="P29" s="22"/>
      <c r="Q29" s="23" t="s">
        <v>183</v>
      </c>
      <c r="R29" s="23" t="str">
        <f aca="false">IF(O29="Only PageBinder",COUNTIF(O$5:O29,"Only PageBinder"),"")</f>
        <v/>
      </c>
      <c r="S29" s="23" t="str">
        <f aca="false">IF(O29="PageBinder and one other",COUNTIF(O$5:O29,"PageBinder and one other"),"")</f>
        <v/>
      </c>
      <c r="T29" s="23" t="str">
        <f aca="false">IF(O29="PageBinder and a few others",COUNTIF(O$5:O29,"PageBinder and a few others"),"")</f>
        <v/>
      </c>
      <c r="U29" s="23" t="str">
        <f aca="false">IF(O29="Most others, not PageBinder",COUNTIF(O$5:O29,"Most others, not PageBinder"),"")</f>
        <v/>
      </c>
      <c r="V29" s="23" t="str">
        <f aca="false">IF(O29="All except PageBinder",COUNTIF(O$5:O29,"All except PageBinder"),"")</f>
        <v/>
      </c>
      <c r="W29" s="23" t="str">
        <f aca="false">IF(O29="Shared by all",COUNTIF(O$5:O29,"Shared by all"),"")</f>
        <v/>
      </c>
    </row>
    <row r="30" customFormat="false" ht="15" hidden="false" customHeight="false" outlineLevel="0" collapsed="false">
      <c r="A30" s="19" t="s">
        <v>202</v>
      </c>
      <c r="B30" s="20" t="s">
        <v>86</v>
      </c>
      <c r="C30" s="20" t="s">
        <v>86</v>
      </c>
      <c r="D30" s="20" t="s">
        <v>86</v>
      </c>
      <c r="E30" s="20" t="s">
        <v>203</v>
      </c>
      <c r="F30" s="20" t="s">
        <v>86</v>
      </c>
      <c r="G30" s="20" t="s">
        <v>86</v>
      </c>
      <c r="H30" s="20" t="s">
        <v>86</v>
      </c>
      <c r="I30" s="20" t="s">
        <v>86</v>
      </c>
      <c r="J30" s="20" t="s">
        <v>86</v>
      </c>
      <c r="K30" s="20" t="s">
        <v>86</v>
      </c>
      <c r="L30" s="20" t="s">
        <v>204</v>
      </c>
      <c r="M30" s="20" t="s">
        <v>79</v>
      </c>
      <c r="N30" s="21" t="n">
        <f aca="false">COUNTIF(B30:M30,"Yes*")</f>
        <v>9</v>
      </c>
      <c r="O30" s="21" t="str">
        <f aca="false">IF(COUNTIF(B30:M30,"Yes*")=12,"Shared by all",IF(AND(LEFT(B30,3)="Yes",COUNTIF(B30:M30,"Yes*")=1),"Only PageBinder",IF(AND(LEFT(B30,3)="Yes",COUNTIF(B30:M30,"Yes*")=2),"PageBinder and one other",IF(AND(LEFT(B30,3)&lt;&gt;"Yes",COUNTIF(B30:M30,"Yes*")=11),"All except PageBinder",IF(AND(LEFT(B30,3)&lt;&gt;"Yes",COUNTIF(B30:M30,"Yes*")&gt;=9),"Most others, not PageBinder",IF(AND(LEFT(B30,3)="Yes",COUNTIF(B30:M30,"Yes*")&lt;=4),"PageBinder and a few others",""))))))</f>
        <v/>
      </c>
      <c r="P30" s="22"/>
      <c r="Q30" s="23" t="s">
        <v>183</v>
      </c>
      <c r="R30" s="23" t="str">
        <f aca="false">IF(O30="Only PageBinder",COUNTIF(O$5:O30,"Only PageBinder"),"")</f>
        <v/>
      </c>
      <c r="S30" s="23" t="str">
        <f aca="false">IF(O30="PageBinder and one other",COUNTIF(O$5:O30,"PageBinder and one other"),"")</f>
        <v/>
      </c>
      <c r="T30" s="23" t="str">
        <f aca="false">IF(O30="PageBinder and a few others",COUNTIF(O$5:O30,"PageBinder and a few others"),"")</f>
        <v/>
      </c>
      <c r="U30" s="23" t="str">
        <f aca="false">IF(O30="Most others, not PageBinder",COUNTIF(O$5:O30,"Most others, not PageBinder"),"")</f>
        <v/>
      </c>
      <c r="V30" s="23" t="str">
        <f aca="false">IF(O30="All except PageBinder",COUNTIF(O$5:O30,"All except PageBinder"),"")</f>
        <v/>
      </c>
      <c r="W30" s="23" t="str">
        <f aca="false">IF(O30="Shared by all",COUNTIF(O$5:O30,"Shared by all"),"")</f>
        <v/>
      </c>
    </row>
    <row r="31" customFormat="false" ht="23.85" hidden="false" customHeight="false" outlineLevel="0" collapsed="false">
      <c r="A31" s="19" t="s">
        <v>205</v>
      </c>
      <c r="B31" s="20" t="s">
        <v>206</v>
      </c>
      <c r="C31" s="20" t="s">
        <v>207</v>
      </c>
      <c r="D31" s="20" t="s">
        <v>79</v>
      </c>
      <c r="E31" s="20" t="s">
        <v>79</v>
      </c>
      <c r="F31" s="20" t="s">
        <v>154</v>
      </c>
      <c r="G31" s="20" t="s">
        <v>208</v>
      </c>
      <c r="H31" s="20" t="s">
        <v>208</v>
      </c>
      <c r="I31" s="20" t="s">
        <v>208</v>
      </c>
      <c r="J31" s="20" t="s">
        <v>209</v>
      </c>
      <c r="K31" s="20" t="s">
        <v>209</v>
      </c>
      <c r="L31" s="20" t="s">
        <v>79</v>
      </c>
      <c r="M31" s="20" t="s">
        <v>210</v>
      </c>
      <c r="N31" s="21" t="n">
        <f aca="false">COUNTIF(B31:M31,"Yes*")</f>
        <v>2</v>
      </c>
      <c r="O31" s="21" t="str">
        <f aca="false">IF(COUNTIF(B31:M31,"Yes*")=12,"Shared by all",IF(AND(LEFT(B31,3)="Yes",COUNTIF(B31:M31,"Yes*")=1),"Only PageBinder",IF(AND(LEFT(B31,3)="Yes",COUNTIF(B31:M31,"Yes*")=2),"PageBinder and one other",IF(AND(LEFT(B31,3)&lt;&gt;"Yes",COUNTIF(B31:M31,"Yes*")=11),"All except PageBinder",IF(AND(LEFT(B31,3)&lt;&gt;"Yes",COUNTIF(B31:M31,"Yes*")&gt;=9),"Most others, not PageBinder",IF(AND(LEFT(B31,3)="Yes",COUNTIF(B31:M31,"Yes*")&lt;=4),"PageBinder and a few others",""))))))</f>
        <v>PageBinder and one other</v>
      </c>
      <c r="P31" s="22"/>
      <c r="Q31" s="23" t="s">
        <v>183</v>
      </c>
      <c r="R31" s="23" t="str">
        <f aca="false">IF(O31="Only PageBinder",COUNTIF(O$5:O31,"Only PageBinder"),"")</f>
        <v/>
      </c>
      <c r="S31" s="23" t="n">
        <f aca="false">IF(O31="PageBinder and one other",COUNTIF(O$5:O31,"PageBinder and one other"),"")</f>
        <v>1</v>
      </c>
      <c r="T31" s="23" t="str">
        <f aca="false">IF(O31="PageBinder and a few others",COUNTIF(O$5:O31,"PageBinder and a few others"),"")</f>
        <v/>
      </c>
      <c r="U31" s="23" t="str">
        <f aca="false">IF(O31="Most others, not PageBinder",COUNTIF(O$5:O31,"Most others, not PageBinder"),"")</f>
        <v/>
      </c>
      <c r="V31" s="23" t="str">
        <f aca="false">IF(O31="All except PageBinder",COUNTIF(O$5:O31,"All except PageBinder"),"")</f>
        <v/>
      </c>
      <c r="W31" s="23" t="str">
        <f aca="false">IF(O31="Shared by all",COUNTIF(O$5:O31,"Shared by all"),"")</f>
        <v/>
      </c>
    </row>
    <row r="32" customFormat="false" ht="15" hidden="false" customHeight="false" outlineLevel="0" collapsed="false">
      <c r="A32" s="19" t="s">
        <v>211</v>
      </c>
      <c r="B32" s="20" t="s">
        <v>86</v>
      </c>
      <c r="C32" s="20" t="s">
        <v>86</v>
      </c>
      <c r="D32" s="20" t="s">
        <v>86</v>
      </c>
      <c r="E32" s="20" t="s">
        <v>86</v>
      </c>
      <c r="F32" s="20" t="s">
        <v>86</v>
      </c>
      <c r="G32" s="20" t="s">
        <v>86</v>
      </c>
      <c r="H32" s="20" t="s">
        <v>86</v>
      </c>
      <c r="I32" s="20" t="s">
        <v>86</v>
      </c>
      <c r="J32" s="20" t="s">
        <v>86</v>
      </c>
      <c r="K32" s="20" t="s">
        <v>86</v>
      </c>
      <c r="L32" s="20" t="s">
        <v>86</v>
      </c>
      <c r="M32" s="20" t="s">
        <v>86</v>
      </c>
      <c r="N32" s="21" t="n">
        <f aca="false">COUNTIF(B32:M32,"Yes*")</f>
        <v>12</v>
      </c>
      <c r="O32" s="21" t="str">
        <f aca="false">IF(COUNTIF(B32:M32,"Yes*")=12,"Shared by all",IF(AND(LEFT(B32,3)="Yes",COUNTIF(B32:M32,"Yes*")=1),"Only PageBinder",IF(AND(LEFT(B32,3)="Yes",COUNTIF(B32:M32,"Yes*")=2),"PageBinder and one other",IF(AND(LEFT(B32,3)&lt;&gt;"Yes",COUNTIF(B32:M32,"Yes*")=11),"All except PageBinder",IF(AND(LEFT(B32,3)&lt;&gt;"Yes",COUNTIF(B32:M32,"Yes*")&gt;=9),"Most others, not PageBinder",IF(AND(LEFT(B32,3)="Yes",COUNTIF(B32:M32,"Yes*")&lt;=4),"PageBinder and a few others",""))))))</f>
        <v>Shared by all</v>
      </c>
      <c r="P32" s="22" t="s">
        <v>99</v>
      </c>
      <c r="Q32" s="23" t="s">
        <v>183</v>
      </c>
      <c r="R32" s="23" t="str">
        <f aca="false">IF(O32="Only PageBinder",COUNTIF(O$5:O32,"Only PageBinder"),"")</f>
        <v/>
      </c>
      <c r="S32" s="23" t="str">
        <f aca="false">IF(O32="PageBinder and one other",COUNTIF(O$5:O32,"PageBinder and one other"),"")</f>
        <v/>
      </c>
      <c r="T32" s="23" t="str">
        <f aca="false">IF(O32="PageBinder and a few others",COUNTIF(O$5:O32,"PageBinder and a few others"),"")</f>
        <v/>
      </c>
      <c r="U32" s="23" t="str">
        <f aca="false">IF(O32="Most others, not PageBinder",COUNTIF(O$5:O32,"Most others, not PageBinder"),"")</f>
        <v/>
      </c>
      <c r="V32" s="23" t="str">
        <f aca="false">IF(O32="All except PageBinder",COUNTIF(O$5:O32,"All except PageBinder"),"")</f>
        <v/>
      </c>
      <c r="W32" s="23" t="n">
        <f aca="false">IF(O32="Shared by all",COUNTIF(O$5:O32,"Shared by all"),"")</f>
        <v>3</v>
      </c>
    </row>
    <row r="33" customFormat="false" ht="15" hidden="false" customHeight="false" outlineLevel="0" collapsed="false">
      <c r="A33" s="19" t="s">
        <v>212</v>
      </c>
      <c r="B33" s="20" t="s">
        <v>86</v>
      </c>
      <c r="C33" s="20" t="s">
        <v>86</v>
      </c>
      <c r="D33" s="20" t="s">
        <v>86</v>
      </c>
      <c r="E33" s="20" t="s">
        <v>86</v>
      </c>
      <c r="F33" s="20" t="s">
        <v>86</v>
      </c>
      <c r="G33" s="20" t="s">
        <v>86</v>
      </c>
      <c r="H33" s="20" t="s">
        <v>86</v>
      </c>
      <c r="I33" s="20" t="s">
        <v>86</v>
      </c>
      <c r="J33" s="20" t="s">
        <v>86</v>
      </c>
      <c r="K33" s="20" t="s">
        <v>86</v>
      </c>
      <c r="L33" s="20" t="s">
        <v>86</v>
      </c>
      <c r="M33" s="20" t="s">
        <v>79</v>
      </c>
      <c r="N33" s="21" t="n">
        <f aca="false">COUNTIF(B33:M33,"Yes*")</f>
        <v>11</v>
      </c>
      <c r="O33" s="21" t="str">
        <f aca="false">IF(COUNTIF(B33:M33,"Yes*")=12,"Shared by all",IF(AND(LEFT(B33,3)="Yes",COUNTIF(B33:M33,"Yes*")=1),"Only PageBinder",IF(AND(LEFT(B33,3)="Yes",COUNTIF(B33:M33,"Yes*")=2),"PageBinder and one other",IF(AND(LEFT(B33,3)&lt;&gt;"Yes",COUNTIF(B33:M33,"Yes*")=11),"All except PageBinder",IF(AND(LEFT(B33,3)&lt;&gt;"Yes",COUNTIF(B33:M33,"Yes*")&gt;=9),"Most others, not PageBinder",IF(AND(LEFT(B33,3)="Yes",COUNTIF(B33:M33,"Yes*")&lt;=4),"PageBinder and a few others",""))))))</f>
        <v/>
      </c>
      <c r="P33" s="22"/>
      <c r="Q33" s="23" t="s">
        <v>183</v>
      </c>
      <c r="R33" s="23" t="str">
        <f aca="false">IF(O33="Only PageBinder",COUNTIF(O$5:O33,"Only PageBinder"),"")</f>
        <v/>
      </c>
      <c r="S33" s="23" t="str">
        <f aca="false">IF(O33="PageBinder and one other",COUNTIF(O$5:O33,"PageBinder and one other"),"")</f>
        <v/>
      </c>
      <c r="T33" s="23" t="str">
        <f aca="false">IF(O33="PageBinder and a few others",COUNTIF(O$5:O33,"PageBinder and a few others"),"")</f>
        <v/>
      </c>
      <c r="U33" s="23" t="str">
        <f aca="false">IF(O33="Most others, not PageBinder",COUNTIF(O$5:O33,"Most others, not PageBinder"),"")</f>
        <v/>
      </c>
      <c r="V33" s="23" t="str">
        <f aca="false">IF(O33="All except PageBinder",COUNTIF(O$5:O33,"All except PageBinder"),"")</f>
        <v/>
      </c>
      <c r="W33" s="23" t="str">
        <f aca="false">IF(O33="Shared by all",COUNTIF(O$5:O33,"Shared by all"),"")</f>
        <v/>
      </c>
    </row>
    <row r="34" customFormat="false" ht="23.85" hidden="false" customHeight="false" outlineLevel="0" collapsed="false">
      <c r="A34" s="19" t="s">
        <v>213</v>
      </c>
      <c r="B34" s="20" t="s">
        <v>214</v>
      </c>
      <c r="C34" s="20" t="s">
        <v>215</v>
      </c>
      <c r="D34" s="20" t="s">
        <v>216</v>
      </c>
      <c r="E34" s="20" t="s">
        <v>217</v>
      </c>
      <c r="F34" s="20" t="s">
        <v>218</v>
      </c>
      <c r="G34" s="20" t="s">
        <v>179</v>
      </c>
      <c r="H34" s="20" t="s">
        <v>219</v>
      </c>
      <c r="I34" s="20" t="s">
        <v>79</v>
      </c>
      <c r="J34" s="20" t="s">
        <v>79</v>
      </c>
      <c r="K34" s="20" t="s">
        <v>79</v>
      </c>
      <c r="L34" s="20" t="s">
        <v>179</v>
      </c>
      <c r="M34" s="20" t="s">
        <v>86</v>
      </c>
      <c r="N34" s="21" t="n">
        <f aca="false">COUNTIF(B34:M34,"Yes*")</f>
        <v>5</v>
      </c>
      <c r="O34" s="21" t="str">
        <f aca="false">IF(COUNTIF(B34:M34,"Yes*")=12,"Shared by all",IF(AND(LEFT(B34,3)="Yes",COUNTIF(B34:M34,"Yes*")=1),"Only PageBinder",IF(AND(LEFT(B34,3)="Yes",COUNTIF(B34:M34,"Yes*")=2),"PageBinder and one other",IF(AND(LEFT(B34,3)&lt;&gt;"Yes",COUNTIF(B34:M34,"Yes*")=11),"All except PageBinder",IF(AND(LEFT(B34,3)&lt;&gt;"Yes",COUNTIF(B34:M34,"Yes*")&gt;=9),"Most others, not PageBinder",IF(AND(LEFT(B34,3)="Yes",COUNTIF(B34:M34,"Yes*")&lt;=4),"PageBinder and a few others",""))))))</f>
        <v/>
      </c>
      <c r="P34" s="22"/>
      <c r="Q34" s="23" t="s">
        <v>183</v>
      </c>
      <c r="R34" s="23" t="str">
        <f aca="false">IF(O34="Only PageBinder",COUNTIF(O$5:O34,"Only PageBinder"),"")</f>
        <v/>
      </c>
      <c r="S34" s="23" t="str">
        <f aca="false">IF(O34="PageBinder and one other",COUNTIF(O$5:O34,"PageBinder and one other"),"")</f>
        <v/>
      </c>
      <c r="T34" s="23" t="str">
        <f aca="false">IF(O34="PageBinder and a few others",COUNTIF(O$5:O34,"PageBinder and a few others"),"")</f>
        <v/>
      </c>
      <c r="U34" s="23" t="str">
        <f aca="false">IF(O34="Most others, not PageBinder",COUNTIF(O$5:O34,"Most others, not PageBinder"),"")</f>
        <v/>
      </c>
      <c r="V34" s="23" t="str">
        <f aca="false">IF(O34="All except PageBinder",COUNTIF(O$5:O34,"All except PageBinder"),"")</f>
        <v/>
      </c>
      <c r="W34" s="23" t="str">
        <f aca="false">IF(O34="Shared by all",COUNTIF(O$5:O34,"Shared by all"),"")</f>
        <v/>
      </c>
    </row>
    <row r="35" customFormat="false" ht="23.85" hidden="false" customHeight="false" outlineLevel="0" collapsed="false">
      <c r="A35" s="19" t="s">
        <v>220</v>
      </c>
      <c r="B35" s="20" t="s">
        <v>79</v>
      </c>
      <c r="C35" s="20" t="s">
        <v>221</v>
      </c>
      <c r="D35" s="20" t="s">
        <v>179</v>
      </c>
      <c r="E35" s="20" t="s">
        <v>222</v>
      </c>
      <c r="F35" s="20" t="s">
        <v>223</v>
      </c>
      <c r="G35" s="20" t="s">
        <v>79</v>
      </c>
      <c r="H35" s="20" t="s">
        <v>224</v>
      </c>
      <c r="I35" s="20" t="s">
        <v>79</v>
      </c>
      <c r="J35" s="20" t="s">
        <v>79</v>
      </c>
      <c r="K35" s="20" t="s">
        <v>79</v>
      </c>
      <c r="L35" s="20" t="s">
        <v>79</v>
      </c>
      <c r="M35" s="20" t="s">
        <v>225</v>
      </c>
      <c r="N35" s="21" t="n">
        <f aca="false">COUNTIF(B35:M35,"Yes*")</f>
        <v>3</v>
      </c>
      <c r="O35" s="21" t="str">
        <f aca="false">IF(COUNTIF(B35:M35,"Yes*")=12,"Shared by all",IF(AND(LEFT(B35,3)="Yes",COUNTIF(B35:M35,"Yes*")=1),"Only PageBinder",IF(AND(LEFT(B35,3)="Yes",COUNTIF(B35:M35,"Yes*")=2),"PageBinder and one other",IF(AND(LEFT(B35,3)&lt;&gt;"Yes",COUNTIF(B35:M35,"Yes*")=11),"All except PageBinder",IF(AND(LEFT(B35,3)&lt;&gt;"Yes",COUNTIF(B35:M35,"Yes*")&gt;=9),"Most others, not PageBinder",IF(AND(LEFT(B35,3)="Yes",COUNTIF(B35:M35,"Yes*")&lt;=4),"PageBinder and a few others",""))))))</f>
        <v/>
      </c>
      <c r="P35" s="22"/>
      <c r="Q35" s="23" t="s">
        <v>183</v>
      </c>
      <c r="R35" s="23" t="str">
        <f aca="false">IF(O35="Only PageBinder",COUNTIF(O$5:O35,"Only PageBinder"),"")</f>
        <v/>
      </c>
      <c r="S35" s="23" t="str">
        <f aca="false">IF(O35="PageBinder and one other",COUNTIF(O$5:O35,"PageBinder and one other"),"")</f>
        <v/>
      </c>
      <c r="T35" s="23" t="str">
        <f aca="false">IF(O35="PageBinder and a few others",COUNTIF(O$5:O35,"PageBinder and a few others"),"")</f>
        <v/>
      </c>
      <c r="U35" s="23" t="str">
        <f aca="false">IF(O35="Most others, not PageBinder",COUNTIF(O$5:O35,"Most others, not PageBinder"),"")</f>
        <v/>
      </c>
      <c r="V35" s="23" t="str">
        <f aca="false">IF(O35="All except PageBinder",COUNTIF(O$5:O35,"All except PageBinder"),"")</f>
        <v/>
      </c>
      <c r="W35" s="23" t="str">
        <f aca="false">IF(O35="Shared by all",COUNTIF(O$5:O35,"Shared by all"),"")</f>
        <v/>
      </c>
    </row>
    <row r="36" customFormat="false" ht="23.85" hidden="false" customHeight="false" outlineLevel="0" collapsed="false">
      <c r="A36" s="19" t="s">
        <v>226</v>
      </c>
      <c r="B36" s="20" t="s">
        <v>79</v>
      </c>
      <c r="C36" s="20" t="s">
        <v>227</v>
      </c>
      <c r="D36" s="20" t="s">
        <v>86</v>
      </c>
      <c r="E36" s="20" t="s">
        <v>86</v>
      </c>
      <c r="F36" s="20" t="s">
        <v>86</v>
      </c>
      <c r="G36" s="20" t="s">
        <v>86</v>
      </c>
      <c r="H36" s="20" t="s">
        <v>86</v>
      </c>
      <c r="I36" s="20" t="s">
        <v>86</v>
      </c>
      <c r="J36" s="20" t="s">
        <v>172</v>
      </c>
      <c r="K36" s="20" t="s">
        <v>86</v>
      </c>
      <c r="L36" s="20" t="s">
        <v>179</v>
      </c>
      <c r="M36" s="20" t="s">
        <v>228</v>
      </c>
      <c r="N36" s="21" t="n">
        <f aca="false">COUNTIF(B36:M36,"Yes*")</f>
        <v>9</v>
      </c>
      <c r="O36" s="21" t="str">
        <f aca="false">IF(COUNTIF(B36:M36,"Yes*")=12,"Shared by all",IF(AND(LEFT(B36,3)="Yes",COUNTIF(B36:M36,"Yes*")=1),"Only PageBinder",IF(AND(LEFT(B36,3)="Yes",COUNTIF(B36:M36,"Yes*")=2),"PageBinder and one other",IF(AND(LEFT(B36,3)&lt;&gt;"Yes",COUNTIF(B36:M36,"Yes*")=11),"All except PageBinder",IF(AND(LEFT(B36,3)&lt;&gt;"Yes",COUNTIF(B36:M36,"Yes*")&gt;=9),"Most others, not PageBinder",IF(AND(LEFT(B36,3)="Yes",COUNTIF(B36:M36,"Yes*")&lt;=4),"PageBinder and a few others",""))))))</f>
        <v>Most others, not PageBinder</v>
      </c>
      <c r="P36" s="22"/>
      <c r="Q36" s="23" t="s">
        <v>183</v>
      </c>
      <c r="R36" s="23" t="str">
        <f aca="false">IF(O36="Only PageBinder",COUNTIF(O$5:O36,"Only PageBinder"),"")</f>
        <v/>
      </c>
      <c r="S36" s="23" t="str">
        <f aca="false">IF(O36="PageBinder and one other",COUNTIF(O$5:O36,"PageBinder and one other"),"")</f>
        <v/>
      </c>
      <c r="T36" s="23" t="str">
        <f aca="false">IF(O36="PageBinder and a few others",COUNTIF(O$5:O36,"PageBinder and a few others"),"")</f>
        <v/>
      </c>
      <c r="U36" s="23" t="n">
        <f aca="false">IF(O36="Most others, not PageBinder",COUNTIF(O$5:O36,"Most others, not PageBinder"),"")</f>
        <v>2</v>
      </c>
      <c r="V36" s="23" t="str">
        <f aca="false">IF(O36="All except PageBinder",COUNTIF(O$5:O36,"All except PageBinder"),"")</f>
        <v/>
      </c>
      <c r="W36" s="23" t="str">
        <f aca="false">IF(O36="Shared by all",COUNTIF(O$5:O36,"Shared by all"),"")</f>
        <v/>
      </c>
    </row>
    <row r="37" customFormat="false" ht="23.85" hidden="false" customHeight="false" outlineLevel="0" collapsed="false">
      <c r="A37" s="19" t="s">
        <v>229</v>
      </c>
      <c r="B37" s="20" t="s">
        <v>79</v>
      </c>
      <c r="C37" s="20" t="s">
        <v>86</v>
      </c>
      <c r="D37" s="20" t="s">
        <v>86</v>
      </c>
      <c r="E37" s="20" t="s">
        <v>86</v>
      </c>
      <c r="F37" s="20" t="s">
        <v>86</v>
      </c>
      <c r="G37" s="20" t="s">
        <v>86</v>
      </c>
      <c r="H37" s="20" t="s">
        <v>86</v>
      </c>
      <c r="I37" s="20" t="s">
        <v>86</v>
      </c>
      <c r="J37" s="20" t="s">
        <v>86</v>
      </c>
      <c r="K37" s="20" t="s">
        <v>86</v>
      </c>
      <c r="L37" s="20" t="s">
        <v>179</v>
      </c>
      <c r="M37" s="20" t="s">
        <v>79</v>
      </c>
      <c r="N37" s="21" t="n">
        <f aca="false">COUNTIF(B37:M37,"Yes*")</f>
        <v>9</v>
      </c>
      <c r="O37" s="21" t="str">
        <f aca="false">IF(COUNTIF(B37:M37,"Yes*")=12,"Shared by all",IF(AND(LEFT(B37,3)="Yes",COUNTIF(B37:M37,"Yes*")=1),"Only PageBinder",IF(AND(LEFT(B37,3)="Yes",COUNTIF(B37:M37,"Yes*")=2),"PageBinder and one other",IF(AND(LEFT(B37,3)&lt;&gt;"Yes",COUNTIF(B37:M37,"Yes*")=11),"All except PageBinder",IF(AND(LEFT(B37,3)&lt;&gt;"Yes",COUNTIF(B37:M37,"Yes*")&gt;=9),"Most others, not PageBinder",IF(AND(LEFT(B37,3)="Yes",COUNTIF(B37:M37,"Yes*")&lt;=4),"PageBinder and a few others",""))))))</f>
        <v>Most others, not PageBinder</v>
      </c>
      <c r="P37" s="22"/>
      <c r="Q37" s="23" t="s">
        <v>183</v>
      </c>
      <c r="R37" s="23" t="str">
        <f aca="false">IF(O37="Only PageBinder",COUNTIF(O$5:O37,"Only PageBinder"),"")</f>
        <v/>
      </c>
      <c r="S37" s="23" t="str">
        <f aca="false">IF(O37="PageBinder and one other",COUNTIF(O$5:O37,"PageBinder and one other"),"")</f>
        <v/>
      </c>
      <c r="T37" s="23" t="str">
        <f aca="false">IF(O37="PageBinder and a few others",COUNTIF(O$5:O37,"PageBinder and a few others"),"")</f>
        <v/>
      </c>
      <c r="U37" s="23" t="n">
        <f aca="false">IF(O37="Most others, not PageBinder",COUNTIF(O$5:O37,"Most others, not PageBinder"),"")</f>
        <v>3</v>
      </c>
      <c r="V37" s="23" t="str">
        <f aca="false">IF(O37="All except PageBinder",COUNTIF(O$5:O37,"All except PageBinder"),"")</f>
        <v/>
      </c>
      <c r="W37" s="23" t="str">
        <f aca="false">IF(O37="Shared by all",COUNTIF(O$5:O37,"Shared by all"),"")</f>
        <v/>
      </c>
    </row>
    <row r="38" customFormat="false" ht="35.05" hidden="false" customHeight="false" outlineLevel="0" collapsed="false">
      <c r="A38" s="19" t="s">
        <v>230</v>
      </c>
      <c r="B38" s="20" t="s">
        <v>231</v>
      </c>
      <c r="C38" s="20" t="s">
        <v>179</v>
      </c>
      <c r="D38" s="20" t="s">
        <v>86</v>
      </c>
      <c r="E38" s="20" t="s">
        <v>86</v>
      </c>
      <c r="F38" s="20" t="s">
        <v>86</v>
      </c>
      <c r="G38" s="20" t="s">
        <v>86</v>
      </c>
      <c r="H38" s="20" t="s">
        <v>86</v>
      </c>
      <c r="I38" s="20" t="s">
        <v>86</v>
      </c>
      <c r="J38" s="20" t="s">
        <v>86</v>
      </c>
      <c r="K38" s="20" t="s">
        <v>208</v>
      </c>
      <c r="L38" s="20" t="s">
        <v>86</v>
      </c>
      <c r="M38" s="20" t="s">
        <v>232</v>
      </c>
      <c r="N38" s="21" t="n">
        <f aca="false">COUNTIF(B38:M38,"Yes*")</f>
        <v>10</v>
      </c>
      <c r="O38" s="21" t="str">
        <f aca="false">IF(COUNTIF(B38:M38,"Yes*")=12,"Shared by all",IF(AND(LEFT(B38,3)="Yes",COUNTIF(B38:M38,"Yes*")=1),"Only PageBinder",IF(AND(LEFT(B38,3)="Yes",COUNTIF(B38:M38,"Yes*")=2),"PageBinder and one other",IF(AND(LEFT(B38,3)&lt;&gt;"Yes",COUNTIF(B38:M38,"Yes*")=11),"All except PageBinder",IF(AND(LEFT(B38,3)&lt;&gt;"Yes",COUNTIF(B38:M38,"Yes*")&gt;=9),"Most others, not PageBinder",IF(AND(LEFT(B38,3)="Yes",COUNTIF(B38:M38,"Yes*")&lt;=4),"PageBinder and a few others",""))))))</f>
        <v/>
      </c>
      <c r="P38" s="22"/>
      <c r="Q38" s="23" t="s">
        <v>183</v>
      </c>
      <c r="R38" s="23" t="str">
        <f aca="false">IF(O38="Only PageBinder",COUNTIF(O$5:O38,"Only PageBinder"),"")</f>
        <v/>
      </c>
      <c r="S38" s="23" t="str">
        <f aca="false">IF(O38="PageBinder and one other",COUNTIF(O$5:O38,"PageBinder and one other"),"")</f>
        <v/>
      </c>
      <c r="T38" s="23" t="str">
        <f aca="false">IF(O38="PageBinder and a few others",COUNTIF(O$5:O38,"PageBinder and a few others"),"")</f>
        <v/>
      </c>
      <c r="U38" s="23" t="str">
        <f aca="false">IF(O38="Most others, not PageBinder",COUNTIF(O$5:O38,"Most others, not PageBinder"),"")</f>
        <v/>
      </c>
      <c r="V38" s="23" t="str">
        <f aca="false">IF(O38="All except PageBinder",COUNTIF(O$5:O38,"All except PageBinder"),"")</f>
        <v/>
      </c>
      <c r="W38" s="23" t="str">
        <f aca="false">IF(O38="Shared by all",COUNTIF(O$5:O38,"Shared by all"),"")</f>
        <v/>
      </c>
    </row>
    <row r="39" customFormat="false" ht="23.85" hidden="false" customHeight="false" outlineLevel="0" collapsed="false">
      <c r="A39" s="19" t="s">
        <v>233</v>
      </c>
      <c r="B39" s="20" t="s">
        <v>234</v>
      </c>
      <c r="C39" s="20" t="s">
        <v>79</v>
      </c>
      <c r="D39" s="20" t="s">
        <v>79</v>
      </c>
      <c r="E39" s="20" t="s">
        <v>79</v>
      </c>
      <c r="F39" s="20" t="s">
        <v>79</v>
      </c>
      <c r="G39" s="20" t="s">
        <v>79</v>
      </c>
      <c r="H39" s="20" t="s">
        <v>79</v>
      </c>
      <c r="I39" s="20" t="s">
        <v>79</v>
      </c>
      <c r="J39" s="20" t="s">
        <v>79</v>
      </c>
      <c r="K39" s="20" t="s">
        <v>79</v>
      </c>
      <c r="L39" s="20" t="s">
        <v>79</v>
      </c>
      <c r="M39" s="20" t="s">
        <v>79</v>
      </c>
      <c r="N39" s="21" t="n">
        <f aca="false">COUNTIF(B39:M39,"Yes*")</f>
        <v>1</v>
      </c>
      <c r="O39" s="21" t="str">
        <f aca="false">IF(COUNTIF(B39:M39,"Yes*")=12,"Shared by all",IF(AND(LEFT(B39,3)="Yes",COUNTIF(B39:M39,"Yes*")=1),"Only PageBinder",IF(AND(LEFT(B39,3)="Yes",COUNTIF(B39:M39,"Yes*")=2),"PageBinder and one other",IF(AND(LEFT(B39,3)&lt;&gt;"Yes",COUNTIF(B39:M39,"Yes*")=11),"All except PageBinder",IF(AND(LEFT(B39,3)&lt;&gt;"Yes",COUNTIF(B39:M39,"Yes*")&gt;=9),"Most others, not PageBinder",IF(AND(LEFT(B39,3)="Yes",COUNTIF(B39:M39,"Yes*")&lt;=4),"PageBinder and a few others",""))))))</f>
        <v>Only PageBinder</v>
      </c>
      <c r="P39" s="22" t="s">
        <v>235</v>
      </c>
      <c r="Q39" s="23" t="s">
        <v>183</v>
      </c>
      <c r="R39" s="23" t="n">
        <f aca="false">IF(O39="Only PageBinder",COUNTIF(O$5:O39,"Only PageBinder"),"")</f>
        <v>1</v>
      </c>
      <c r="S39" s="23" t="str">
        <f aca="false">IF(O39="PageBinder and one other",COUNTIF(O$5:O39,"PageBinder and one other"),"")</f>
        <v/>
      </c>
      <c r="T39" s="23" t="str">
        <f aca="false">IF(O39="PageBinder and a few others",COUNTIF(O$5:O39,"PageBinder and a few others"),"")</f>
        <v/>
      </c>
      <c r="U39" s="23" t="str">
        <f aca="false">IF(O39="Most others, not PageBinder",COUNTIF(O$5:O39,"Most others, not PageBinder"),"")</f>
        <v/>
      </c>
      <c r="V39" s="23" t="str">
        <f aca="false">IF(O39="All except PageBinder",COUNTIF(O$5:O39,"All except PageBinder"),"")</f>
        <v/>
      </c>
      <c r="W39" s="23" t="str">
        <f aca="false">IF(O39="Shared by all",COUNTIF(O$5:O39,"Shared by all"),"")</f>
        <v/>
      </c>
    </row>
    <row r="40" customFormat="false" ht="23.85" hidden="false" customHeight="false" outlineLevel="0" collapsed="false">
      <c r="A40" s="19" t="s">
        <v>236</v>
      </c>
      <c r="B40" s="20" t="s">
        <v>86</v>
      </c>
      <c r="C40" s="20" t="s">
        <v>79</v>
      </c>
      <c r="D40" s="20" t="s">
        <v>237</v>
      </c>
      <c r="E40" s="20" t="s">
        <v>238</v>
      </c>
      <c r="F40" s="20" t="s">
        <v>239</v>
      </c>
      <c r="G40" s="20" t="s">
        <v>238</v>
      </c>
      <c r="H40" s="20" t="s">
        <v>240</v>
      </c>
      <c r="I40" s="20" t="s">
        <v>79</v>
      </c>
      <c r="J40" s="20" t="s">
        <v>79</v>
      </c>
      <c r="K40" s="20" t="s">
        <v>79</v>
      </c>
      <c r="L40" s="20" t="s">
        <v>79</v>
      </c>
      <c r="M40" s="20" t="s">
        <v>241</v>
      </c>
      <c r="N40" s="21" t="n">
        <f aca="false">COUNTIF(B40:M40,"Yes*")</f>
        <v>2</v>
      </c>
      <c r="O40" s="21" t="str">
        <f aca="false">IF(COUNTIF(B40:M40,"Yes*")=12,"Shared by all",IF(AND(LEFT(B40,3)="Yes",COUNTIF(B40:M40,"Yes*")=1),"Only PageBinder",IF(AND(LEFT(B40,3)="Yes",COUNTIF(B40:M40,"Yes*")=2),"PageBinder and one other",IF(AND(LEFT(B40,3)&lt;&gt;"Yes",COUNTIF(B40:M40,"Yes*")=11),"All except PageBinder",IF(AND(LEFT(B40,3)&lt;&gt;"Yes",COUNTIF(B40:M40,"Yes*")&gt;=9),"Most others, not PageBinder",IF(AND(LEFT(B40,3)="Yes",COUNTIF(B40:M40,"Yes*")&lt;=4),"PageBinder and a few others",""))))))</f>
        <v>PageBinder and one other</v>
      </c>
      <c r="P40" s="22"/>
      <c r="Q40" s="23" t="s">
        <v>183</v>
      </c>
      <c r="R40" s="23" t="str">
        <f aca="false">IF(O40="Only PageBinder",COUNTIF(O$5:O40,"Only PageBinder"),"")</f>
        <v/>
      </c>
      <c r="S40" s="23" t="n">
        <f aca="false">IF(O40="PageBinder and one other",COUNTIF(O$5:O40,"PageBinder and one other"),"")</f>
        <v>2</v>
      </c>
      <c r="T40" s="23" t="str">
        <f aca="false">IF(O40="PageBinder and a few others",COUNTIF(O$5:O40,"PageBinder and a few others"),"")</f>
        <v/>
      </c>
      <c r="U40" s="23" t="str">
        <f aca="false">IF(O40="Most others, not PageBinder",COUNTIF(O$5:O40,"Most others, not PageBinder"),"")</f>
        <v/>
      </c>
      <c r="V40" s="23" t="str">
        <f aca="false">IF(O40="All except PageBinder",COUNTIF(O$5:O40,"All except PageBinder"),"")</f>
        <v/>
      </c>
      <c r="W40" s="23" t="str">
        <f aca="false">IF(O40="Shared by all",COUNTIF(O$5:O40,"Shared by all"),"")</f>
        <v/>
      </c>
    </row>
    <row r="41" customFormat="false" ht="15" hidden="false" customHeight="false" outlineLevel="0" collapsed="false">
      <c r="A41" s="17" t="s">
        <v>242</v>
      </c>
      <c r="B41" s="17"/>
      <c r="C41" s="17"/>
      <c r="D41" s="17"/>
      <c r="E41" s="17"/>
      <c r="F41" s="17"/>
      <c r="G41" s="17"/>
      <c r="H41" s="17"/>
      <c r="I41" s="17"/>
      <c r="J41" s="17"/>
      <c r="K41" s="17"/>
      <c r="L41" s="17"/>
      <c r="M41" s="17"/>
      <c r="N41" s="17"/>
      <c r="O41" s="17"/>
      <c r="P41" s="17"/>
      <c r="Q41" s="18" t="s">
        <v>242</v>
      </c>
    </row>
    <row r="42" customFormat="false" ht="35.05" hidden="false" customHeight="false" outlineLevel="0" collapsed="false">
      <c r="A42" s="19" t="s">
        <v>243</v>
      </c>
      <c r="B42" s="20" t="s">
        <v>86</v>
      </c>
      <c r="C42" s="20" t="s">
        <v>79</v>
      </c>
      <c r="D42" s="20" t="s">
        <v>79</v>
      </c>
      <c r="E42" s="20" t="s">
        <v>79</v>
      </c>
      <c r="F42" s="20" t="s">
        <v>79</v>
      </c>
      <c r="G42" s="20" t="s">
        <v>79</v>
      </c>
      <c r="H42" s="20" t="s">
        <v>79</v>
      </c>
      <c r="I42" s="20" t="s">
        <v>79</v>
      </c>
      <c r="J42" s="20" t="s">
        <v>79</v>
      </c>
      <c r="K42" s="20" t="s">
        <v>79</v>
      </c>
      <c r="L42" s="20" t="s">
        <v>79</v>
      </c>
      <c r="M42" s="20" t="s">
        <v>86</v>
      </c>
      <c r="N42" s="21" t="n">
        <f aca="false">COUNTIF(B42:M42,"Yes*")</f>
        <v>2</v>
      </c>
      <c r="O42" s="21" t="str">
        <f aca="false">IF(COUNTIF(B42:M42,"Yes*")=12,"Shared by all",IF(AND(LEFT(B42,3)="Yes",COUNTIF(B42:M42,"Yes*")=1),"Only PageBinder",IF(AND(LEFT(B42,3)="Yes",COUNTIF(B42:M42,"Yes*")=2),"PageBinder and one other",IF(AND(LEFT(B42,3)&lt;&gt;"Yes",COUNTIF(B42:M42,"Yes*")=11),"All except PageBinder",IF(AND(LEFT(B42,3)&lt;&gt;"Yes",COUNTIF(B42:M42,"Yes*")&gt;=9),"Most others, not PageBinder",IF(AND(LEFT(B42,3)="Yes",COUNTIF(B42:M42,"Yes*")&lt;=4),"PageBinder and a few others",""))))))</f>
        <v>PageBinder and one other</v>
      </c>
      <c r="P42" s="22"/>
      <c r="Q42" s="23" t="s">
        <v>242</v>
      </c>
      <c r="R42" s="23" t="str">
        <f aca="false">IF(O42="Only PageBinder",COUNTIF(O$5:O42,"Only PageBinder"),"")</f>
        <v/>
      </c>
      <c r="S42" s="23" t="n">
        <f aca="false">IF(O42="PageBinder and one other",COUNTIF(O$5:O42,"PageBinder and one other"),"")</f>
        <v>3</v>
      </c>
      <c r="T42" s="23" t="str">
        <f aca="false">IF(O42="PageBinder and a few others",COUNTIF(O$5:O42,"PageBinder and a few others"),"")</f>
        <v/>
      </c>
      <c r="U42" s="23" t="str">
        <f aca="false">IF(O42="Most others, not PageBinder",COUNTIF(O$5:O42,"Most others, not PageBinder"),"")</f>
        <v/>
      </c>
      <c r="V42" s="23" t="str">
        <f aca="false">IF(O42="All except PageBinder",COUNTIF(O$5:O42,"All except PageBinder"),"")</f>
        <v/>
      </c>
      <c r="W42" s="23" t="str">
        <f aca="false">IF(O42="Shared by all",COUNTIF(O$5:O42,"Shared by all"),"")</f>
        <v/>
      </c>
    </row>
    <row r="43" customFormat="false" ht="23.85" hidden="false" customHeight="false" outlineLevel="0" collapsed="false">
      <c r="A43" s="19" t="s">
        <v>244</v>
      </c>
      <c r="B43" s="20" t="s">
        <v>86</v>
      </c>
      <c r="C43" s="20" t="s">
        <v>245</v>
      </c>
      <c r="D43" s="20" t="s">
        <v>246</v>
      </c>
      <c r="E43" s="20" t="s">
        <v>79</v>
      </c>
      <c r="F43" s="20" t="s">
        <v>247</v>
      </c>
      <c r="G43" s="20" t="s">
        <v>248</v>
      </c>
      <c r="H43" s="20" t="s">
        <v>208</v>
      </c>
      <c r="I43" s="20" t="s">
        <v>79</v>
      </c>
      <c r="J43" s="20" t="s">
        <v>249</v>
      </c>
      <c r="K43" s="20" t="s">
        <v>249</v>
      </c>
      <c r="L43" s="20" t="s">
        <v>250</v>
      </c>
      <c r="M43" s="20" t="s">
        <v>86</v>
      </c>
      <c r="N43" s="21" t="n">
        <f aca="false">COUNTIF(B43:M43,"Yes*")</f>
        <v>2</v>
      </c>
      <c r="O43" s="21" t="str">
        <f aca="false">IF(COUNTIF(B43:M43,"Yes*")=12,"Shared by all",IF(AND(LEFT(B43,3)="Yes",COUNTIF(B43:M43,"Yes*")=1),"Only PageBinder",IF(AND(LEFT(B43,3)="Yes",COUNTIF(B43:M43,"Yes*")=2),"PageBinder and one other",IF(AND(LEFT(B43,3)&lt;&gt;"Yes",COUNTIF(B43:M43,"Yes*")=11),"All except PageBinder",IF(AND(LEFT(B43,3)&lt;&gt;"Yes",COUNTIF(B43:M43,"Yes*")&gt;=9),"Most others, not PageBinder",IF(AND(LEFT(B43,3)="Yes",COUNTIF(B43:M43,"Yes*")&lt;=4),"PageBinder and a few others",""))))))</f>
        <v>PageBinder and one other</v>
      </c>
      <c r="P43" s="22"/>
      <c r="Q43" s="23" t="s">
        <v>242</v>
      </c>
      <c r="R43" s="23" t="str">
        <f aca="false">IF(O43="Only PageBinder",COUNTIF(O$5:O43,"Only PageBinder"),"")</f>
        <v/>
      </c>
      <c r="S43" s="23" t="n">
        <f aca="false">IF(O43="PageBinder and one other",COUNTIF(O$5:O43,"PageBinder and one other"),"")</f>
        <v>4</v>
      </c>
      <c r="T43" s="23" t="str">
        <f aca="false">IF(O43="PageBinder and a few others",COUNTIF(O$5:O43,"PageBinder and a few others"),"")</f>
        <v/>
      </c>
      <c r="U43" s="23" t="str">
        <f aca="false">IF(O43="Most others, not PageBinder",COUNTIF(O$5:O43,"Most others, not PageBinder"),"")</f>
        <v/>
      </c>
      <c r="V43" s="23" t="str">
        <f aca="false">IF(O43="All except PageBinder",COUNTIF(O$5:O43,"All except PageBinder"),"")</f>
        <v/>
      </c>
      <c r="W43" s="23" t="str">
        <f aca="false">IF(O43="Shared by all",COUNTIF(O$5:O43,"Shared by all"),"")</f>
        <v/>
      </c>
    </row>
    <row r="44" customFormat="false" ht="15" hidden="false" customHeight="false" outlineLevel="0" collapsed="false">
      <c r="A44" s="19" t="s">
        <v>251</v>
      </c>
      <c r="B44" s="20" t="s">
        <v>86</v>
      </c>
      <c r="C44" s="20" t="s">
        <v>252</v>
      </c>
      <c r="D44" s="20" t="s">
        <v>79</v>
      </c>
      <c r="E44" s="20" t="s">
        <v>79</v>
      </c>
      <c r="F44" s="20" t="s">
        <v>172</v>
      </c>
      <c r="G44" s="20" t="s">
        <v>208</v>
      </c>
      <c r="H44" s="20" t="s">
        <v>79</v>
      </c>
      <c r="I44" s="20" t="s">
        <v>79</v>
      </c>
      <c r="J44" s="20" t="s">
        <v>253</v>
      </c>
      <c r="K44" s="20" t="s">
        <v>208</v>
      </c>
      <c r="L44" s="20" t="s">
        <v>254</v>
      </c>
      <c r="M44" s="20" t="s">
        <v>252</v>
      </c>
      <c r="N44" s="21" t="n">
        <f aca="false">COUNTIF(B44:M44,"Yes*")</f>
        <v>1</v>
      </c>
      <c r="O44" s="21" t="str">
        <f aca="false">IF(COUNTIF(B44:M44,"Yes*")=12,"Shared by all",IF(AND(LEFT(B44,3)="Yes",COUNTIF(B44:M44,"Yes*")=1),"Only PageBinder",IF(AND(LEFT(B44,3)="Yes",COUNTIF(B44:M44,"Yes*")=2),"PageBinder and one other",IF(AND(LEFT(B44,3)&lt;&gt;"Yes",COUNTIF(B44:M44,"Yes*")=11),"All except PageBinder",IF(AND(LEFT(B44,3)&lt;&gt;"Yes",COUNTIF(B44:M44,"Yes*")&gt;=9),"Most others, not PageBinder",IF(AND(LEFT(B44,3)="Yes",COUNTIF(B44:M44,"Yes*")&lt;=4),"PageBinder and a few others",""))))))</f>
        <v>Only PageBinder</v>
      </c>
      <c r="P44" s="22"/>
      <c r="Q44" s="23" t="s">
        <v>242</v>
      </c>
      <c r="R44" s="23" t="n">
        <f aca="false">IF(O44="Only PageBinder",COUNTIF(O$5:O44,"Only PageBinder"),"")</f>
        <v>2</v>
      </c>
      <c r="S44" s="23" t="str">
        <f aca="false">IF(O44="PageBinder and one other",COUNTIF(O$5:O44,"PageBinder and one other"),"")</f>
        <v/>
      </c>
      <c r="T44" s="23" t="str">
        <f aca="false">IF(O44="PageBinder and a few others",COUNTIF(O$5:O44,"PageBinder and a few others"),"")</f>
        <v/>
      </c>
      <c r="U44" s="23" t="str">
        <f aca="false">IF(O44="Most others, not PageBinder",COUNTIF(O$5:O44,"Most others, not PageBinder"),"")</f>
        <v/>
      </c>
      <c r="V44" s="23" t="str">
        <f aca="false">IF(O44="All except PageBinder",COUNTIF(O$5:O44,"All except PageBinder"),"")</f>
        <v/>
      </c>
      <c r="W44" s="23" t="str">
        <f aca="false">IF(O44="Shared by all",COUNTIF(O$5:O44,"Shared by all"),"")</f>
        <v/>
      </c>
    </row>
    <row r="45" customFormat="false" ht="35.05" hidden="false" customHeight="false" outlineLevel="0" collapsed="false">
      <c r="A45" s="19" t="s">
        <v>255</v>
      </c>
      <c r="B45" s="20" t="s">
        <v>256</v>
      </c>
      <c r="C45" s="20" t="s">
        <v>86</v>
      </c>
      <c r="D45" s="20" t="s">
        <v>257</v>
      </c>
      <c r="E45" s="20" t="s">
        <v>179</v>
      </c>
      <c r="F45" s="20" t="s">
        <v>258</v>
      </c>
      <c r="G45" s="20" t="s">
        <v>86</v>
      </c>
      <c r="H45" s="20" t="s">
        <v>259</v>
      </c>
      <c r="I45" s="20" t="s">
        <v>260</v>
      </c>
      <c r="J45" s="20" t="s">
        <v>86</v>
      </c>
      <c r="K45" s="20" t="s">
        <v>261</v>
      </c>
      <c r="L45" s="20" t="s">
        <v>262</v>
      </c>
      <c r="M45" s="20" t="s">
        <v>86</v>
      </c>
      <c r="N45" s="21" t="n">
        <f aca="false">COUNTIF(B45:M45,"Yes*")</f>
        <v>9</v>
      </c>
      <c r="O45" s="21" t="str">
        <f aca="false">IF(COUNTIF(B45:M45,"Yes*")=12,"Shared by all",IF(AND(LEFT(B45,3)="Yes",COUNTIF(B45:M45,"Yes*")=1),"Only PageBinder",IF(AND(LEFT(B45,3)="Yes",COUNTIF(B45:M45,"Yes*")=2),"PageBinder and one other",IF(AND(LEFT(B45,3)&lt;&gt;"Yes",COUNTIF(B45:M45,"Yes*")=11),"All except PageBinder",IF(AND(LEFT(B45,3)&lt;&gt;"Yes",COUNTIF(B45:M45,"Yes*")&gt;=9),"Most others, not PageBinder",IF(AND(LEFT(B45,3)="Yes",COUNTIF(B45:M45,"Yes*")&lt;=4),"PageBinder and a few others",""))))))</f>
        <v/>
      </c>
      <c r="P45" s="22"/>
      <c r="Q45" s="23" t="s">
        <v>242</v>
      </c>
      <c r="R45" s="23" t="str">
        <f aca="false">IF(O45="Only PageBinder",COUNTIF(O$5:O45,"Only PageBinder"),"")</f>
        <v/>
      </c>
      <c r="S45" s="23" t="str">
        <f aca="false">IF(O45="PageBinder and one other",COUNTIF(O$5:O45,"PageBinder and one other"),"")</f>
        <v/>
      </c>
      <c r="T45" s="23" t="str">
        <f aca="false">IF(O45="PageBinder and a few others",COUNTIF(O$5:O45,"PageBinder and a few others"),"")</f>
        <v/>
      </c>
      <c r="U45" s="23" t="str">
        <f aca="false">IF(O45="Most others, not PageBinder",COUNTIF(O$5:O45,"Most others, not PageBinder"),"")</f>
        <v/>
      </c>
      <c r="V45" s="23" t="str">
        <f aca="false">IF(O45="All except PageBinder",COUNTIF(O$5:O45,"All except PageBinder"),"")</f>
        <v/>
      </c>
      <c r="W45" s="23" t="str">
        <f aca="false">IF(O45="Shared by all",COUNTIF(O$5:O45,"Shared by all"),"")</f>
        <v/>
      </c>
    </row>
    <row r="46" customFormat="false" ht="23.85" hidden="false" customHeight="false" outlineLevel="0" collapsed="false">
      <c r="A46" s="19" t="s">
        <v>263</v>
      </c>
      <c r="B46" s="20" t="s">
        <v>264</v>
      </c>
      <c r="C46" s="20" t="s">
        <v>86</v>
      </c>
      <c r="D46" s="20" t="s">
        <v>179</v>
      </c>
      <c r="E46" s="20" t="s">
        <v>265</v>
      </c>
      <c r="F46" s="20" t="s">
        <v>86</v>
      </c>
      <c r="G46" s="20" t="s">
        <v>86</v>
      </c>
      <c r="H46" s="20" t="s">
        <v>86</v>
      </c>
      <c r="I46" s="20" t="s">
        <v>208</v>
      </c>
      <c r="J46" s="20" t="s">
        <v>172</v>
      </c>
      <c r="K46" s="20" t="s">
        <v>86</v>
      </c>
      <c r="L46" s="20" t="s">
        <v>86</v>
      </c>
      <c r="M46" s="20" t="s">
        <v>266</v>
      </c>
      <c r="N46" s="21" t="n">
        <f aca="false">COUNTIF(B46:M46,"Yes*")</f>
        <v>8</v>
      </c>
      <c r="O46" s="21" t="str">
        <f aca="false">IF(COUNTIF(B46:M46,"Yes*")=12,"Shared by all",IF(AND(LEFT(B46,3)="Yes",COUNTIF(B46:M46,"Yes*")=1),"Only PageBinder",IF(AND(LEFT(B46,3)="Yes",COUNTIF(B46:M46,"Yes*")=2),"PageBinder and one other",IF(AND(LEFT(B46,3)&lt;&gt;"Yes",COUNTIF(B46:M46,"Yes*")=11),"All except PageBinder",IF(AND(LEFT(B46,3)&lt;&gt;"Yes",COUNTIF(B46:M46,"Yes*")&gt;=9),"Most others, not PageBinder",IF(AND(LEFT(B46,3)="Yes",COUNTIF(B46:M46,"Yes*")&lt;=4),"PageBinder and a few others",""))))))</f>
        <v/>
      </c>
      <c r="P46" s="22"/>
      <c r="Q46" s="23" t="s">
        <v>242</v>
      </c>
      <c r="R46" s="23" t="str">
        <f aca="false">IF(O46="Only PageBinder",COUNTIF(O$5:O46,"Only PageBinder"),"")</f>
        <v/>
      </c>
      <c r="S46" s="23" t="str">
        <f aca="false">IF(O46="PageBinder and one other",COUNTIF(O$5:O46,"PageBinder and one other"),"")</f>
        <v/>
      </c>
      <c r="T46" s="23" t="str">
        <f aca="false">IF(O46="PageBinder and a few others",COUNTIF(O$5:O46,"PageBinder and a few others"),"")</f>
        <v/>
      </c>
      <c r="U46" s="23" t="str">
        <f aca="false">IF(O46="Most others, not PageBinder",COUNTIF(O$5:O46,"Most others, not PageBinder"),"")</f>
        <v/>
      </c>
      <c r="V46" s="23" t="str">
        <f aca="false">IF(O46="All except PageBinder",COUNTIF(O$5:O46,"All except PageBinder"),"")</f>
        <v/>
      </c>
      <c r="W46" s="23" t="str">
        <f aca="false">IF(O46="Shared by all",COUNTIF(O$5:O46,"Shared by all"),"")</f>
        <v/>
      </c>
    </row>
    <row r="47" customFormat="false" ht="23.85" hidden="false" customHeight="false" outlineLevel="0" collapsed="false">
      <c r="A47" s="19" t="s">
        <v>267</v>
      </c>
      <c r="B47" s="20" t="s">
        <v>79</v>
      </c>
      <c r="C47" s="20" t="s">
        <v>86</v>
      </c>
      <c r="D47" s="20" t="s">
        <v>268</v>
      </c>
      <c r="E47" s="20" t="s">
        <v>268</v>
      </c>
      <c r="F47" s="20" t="s">
        <v>86</v>
      </c>
      <c r="G47" s="20" t="s">
        <v>86</v>
      </c>
      <c r="H47" s="20" t="s">
        <v>86</v>
      </c>
      <c r="I47" s="20" t="s">
        <v>86</v>
      </c>
      <c r="J47" s="20" t="s">
        <v>86</v>
      </c>
      <c r="K47" s="20" t="s">
        <v>86</v>
      </c>
      <c r="L47" s="20" t="s">
        <v>86</v>
      </c>
      <c r="M47" s="20" t="s">
        <v>79</v>
      </c>
      <c r="N47" s="21" t="n">
        <f aca="false">COUNTIF(B47:M47,"Yes*")</f>
        <v>10</v>
      </c>
      <c r="O47" s="21" t="str">
        <f aca="false">IF(COUNTIF(B47:M47,"Yes*")=12,"Shared by all",IF(AND(LEFT(B47,3)="Yes",COUNTIF(B47:M47,"Yes*")=1),"Only PageBinder",IF(AND(LEFT(B47,3)="Yes",COUNTIF(B47:M47,"Yes*")=2),"PageBinder and one other",IF(AND(LEFT(B47,3)&lt;&gt;"Yes",COUNTIF(B47:M47,"Yes*")=11),"All except PageBinder",IF(AND(LEFT(B47,3)&lt;&gt;"Yes",COUNTIF(B47:M47,"Yes*")&gt;=9),"Most others, not PageBinder",IF(AND(LEFT(B47,3)="Yes",COUNTIF(B47:M47,"Yes*")&lt;=4),"PageBinder and a few others",""))))))</f>
        <v>Most others, not PageBinder</v>
      </c>
      <c r="P47" s="22"/>
      <c r="Q47" s="23" t="s">
        <v>242</v>
      </c>
      <c r="R47" s="23" t="str">
        <f aca="false">IF(O47="Only PageBinder",COUNTIF(O$5:O47,"Only PageBinder"),"")</f>
        <v/>
      </c>
      <c r="S47" s="23" t="str">
        <f aca="false">IF(O47="PageBinder and one other",COUNTIF(O$5:O47,"PageBinder and one other"),"")</f>
        <v/>
      </c>
      <c r="T47" s="23" t="str">
        <f aca="false">IF(O47="PageBinder and a few others",COUNTIF(O$5:O47,"PageBinder and a few others"),"")</f>
        <v/>
      </c>
      <c r="U47" s="23" t="n">
        <f aca="false">IF(O47="Most others, not PageBinder",COUNTIF(O$5:O47,"Most others, not PageBinder"),"")</f>
        <v>4</v>
      </c>
      <c r="V47" s="23" t="str">
        <f aca="false">IF(O47="All except PageBinder",COUNTIF(O$5:O47,"All except PageBinder"),"")</f>
        <v/>
      </c>
      <c r="W47" s="23" t="str">
        <f aca="false">IF(O47="Shared by all",COUNTIF(O$5:O47,"Shared by all"),"")</f>
        <v/>
      </c>
    </row>
    <row r="48" customFormat="false" ht="23.85" hidden="false" customHeight="false" outlineLevel="0" collapsed="false">
      <c r="A48" s="19" t="s">
        <v>269</v>
      </c>
      <c r="B48" s="20" t="s">
        <v>86</v>
      </c>
      <c r="C48" s="20" t="s">
        <v>270</v>
      </c>
      <c r="D48" s="20" t="s">
        <v>79</v>
      </c>
      <c r="E48" s="20" t="s">
        <v>79</v>
      </c>
      <c r="F48" s="20" t="s">
        <v>271</v>
      </c>
      <c r="G48" s="20" t="s">
        <v>172</v>
      </c>
      <c r="H48" s="20" t="s">
        <v>79</v>
      </c>
      <c r="I48" s="20" t="s">
        <v>79</v>
      </c>
      <c r="J48" s="20" t="s">
        <v>79</v>
      </c>
      <c r="K48" s="20" t="s">
        <v>272</v>
      </c>
      <c r="L48" s="20" t="s">
        <v>273</v>
      </c>
      <c r="M48" s="20" t="s">
        <v>274</v>
      </c>
      <c r="N48" s="21" t="n">
        <f aca="false">COUNTIF(B48:M48,"Yes*")</f>
        <v>2</v>
      </c>
      <c r="O48" s="21" t="str">
        <f aca="false">IF(COUNTIF(B48:M48,"Yes*")=12,"Shared by all",IF(AND(LEFT(B48,3)="Yes",COUNTIF(B48:M48,"Yes*")=1),"Only PageBinder",IF(AND(LEFT(B48,3)="Yes",COUNTIF(B48:M48,"Yes*")=2),"PageBinder and one other",IF(AND(LEFT(B48,3)&lt;&gt;"Yes",COUNTIF(B48:M48,"Yes*")=11),"All except PageBinder",IF(AND(LEFT(B48,3)&lt;&gt;"Yes",COUNTIF(B48:M48,"Yes*")&gt;=9),"Most others, not PageBinder",IF(AND(LEFT(B48,3)="Yes",COUNTIF(B48:M48,"Yes*")&lt;=4),"PageBinder and a few others",""))))))</f>
        <v>PageBinder and one other</v>
      </c>
      <c r="P48" s="22"/>
      <c r="Q48" s="23" t="s">
        <v>242</v>
      </c>
      <c r="R48" s="23" t="str">
        <f aca="false">IF(O48="Only PageBinder",COUNTIF(O$5:O48,"Only PageBinder"),"")</f>
        <v/>
      </c>
      <c r="S48" s="23" t="n">
        <f aca="false">IF(O48="PageBinder and one other",COUNTIF(O$5:O48,"PageBinder and one other"),"")</f>
        <v>5</v>
      </c>
      <c r="T48" s="23" t="str">
        <f aca="false">IF(O48="PageBinder and a few others",COUNTIF(O$5:O48,"PageBinder and a few others"),"")</f>
        <v/>
      </c>
      <c r="U48" s="23" t="str">
        <f aca="false">IF(O48="Most others, not PageBinder",COUNTIF(O$5:O48,"Most others, not PageBinder"),"")</f>
        <v/>
      </c>
      <c r="V48" s="23" t="str">
        <f aca="false">IF(O48="All except PageBinder",COUNTIF(O$5:O48,"All except PageBinder"),"")</f>
        <v/>
      </c>
      <c r="W48" s="23" t="str">
        <f aca="false">IF(O48="Shared by all",COUNTIF(O$5:O48,"Shared by all"),"")</f>
        <v/>
      </c>
    </row>
    <row r="49" customFormat="false" ht="15" hidden="false" customHeight="false" outlineLevel="0" collapsed="false">
      <c r="A49" s="17" t="s">
        <v>275</v>
      </c>
      <c r="B49" s="17"/>
      <c r="C49" s="17"/>
      <c r="D49" s="17"/>
      <c r="E49" s="17"/>
      <c r="F49" s="17"/>
      <c r="G49" s="17"/>
      <c r="H49" s="17"/>
      <c r="I49" s="17"/>
      <c r="J49" s="17"/>
      <c r="K49" s="17"/>
      <c r="L49" s="17"/>
      <c r="M49" s="17"/>
      <c r="N49" s="17"/>
      <c r="O49" s="17"/>
      <c r="P49" s="17"/>
      <c r="Q49" s="18" t="s">
        <v>275</v>
      </c>
    </row>
    <row r="50" customFormat="false" ht="23.85" hidden="false" customHeight="false" outlineLevel="0" collapsed="false">
      <c r="A50" s="19" t="s">
        <v>276</v>
      </c>
      <c r="B50" s="20" t="s">
        <v>86</v>
      </c>
      <c r="C50" s="20" t="s">
        <v>86</v>
      </c>
      <c r="D50" s="20" t="s">
        <v>86</v>
      </c>
      <c r="E50" s="20" t="s">
        <v>86</v>
      </c>
      <c r="F50" s="20" t="s">
        <v>86</v>
      </c>
      <c r="G50" s="20" t="s">
        <v>86</v>
      </c>
      <c r="H50" s="20" t="s">
        <v>86</v>
      </c>
      <c r="I50" s="20" t="s">
        <v>86</v>
      </c>
      <c r="J50" s="20" t="s">
        <v>86</v>
      </c>
      <c r="K50" s="20" t="s">
        <v>86</v>
      </c>
      <c r="L50" s="20" t="s">
        <v>86</v>
      </c>
      <c r="M50" s="20" t="s">
        <v>277</v>
      </c>
      <c r="N50" s="21" t="n">
        <f aca="false">COUNTIF(B50:M50,"Yes*")</f>
        <v>11</v>
      </c>
      <c r="O50" s="21" t="str">
        <f aca="false">IF(COUNTIF(B50:M50,"Yes*")=12,"Shared by all",IF(AND(LEFT(B50,3)="Yes",COUNTIF(B50:M50,"Yes*")=1),"Only PageBinder",IF(AND(LEFT(B50,3)="Yes",COUNTIF(B50:M50,"Yes*")=2),"PageBinder and one other",IF(AND(LEFT(B50,3)&lt;&gt;"Yes",COUNTIF(B50:M50,"Yes*")=11),"All except PageBinder",IF(AND(LEFT(B50,3)&lt;&gt;"Yes",COUNTIF(B50:M50,"Yes*")&gt;=9),"Most others, not PageBinder",IF(AND(LEFT(B50,3)="Yes",COUNTIF(B50:M50,"Yes*")&lt;=4),"PageBinder and a few others",""))))))</f>
        <v/>
      </c>
      <c r="P50" s="22" t="s">
        <v>278</v>
      </c>
      <c r="Q50" s="23" t="s">
        <v>275</v>
      </c>
      <c r="R50" s="23" t="str">
        <f aca="false">IF(O50="Only PageBinder",COUNTIF(O$5:O50,"Only PageBinder"),"")</f>
        <v/>
      </c>
      <c r="S50" s="23" t="str">
        <f aca="false">IF(O50="PageBinder and one other",COUNTIF(O$5:O50,"PageBinder and one other"),"")</f>
        <v/>
      </c>
      <c r="T50" s="23" t="str">
        <f aca="false">IF(O50="PageBinder and a few others",COUNTIF(O$5:O50,"PageBinder and a few others"),"")</f>
        <v/>
      </c>
      <c r="U50" s="23" t="str">
        <f aca="false">IF(O50="Most others, not PageBinder",COUNTIF(O$5:O50,"Most others, not PageBinder"),"")</f>
        <v/>
      </c>
      <c r="V50" s="23" t="str">
        <f aca="false">IF(O50="All except PageBinder",COUNTIF(O$5:O50,"All except PageBinder"),"")</f>
        <v/>
      </c>
      <c r="W50" s="23" t="str">
        <f aca="false">IF(O50="Shared by all",COUNTIF(O$5:O50,"Shared by all"),"")</f>
        <v/>
      </c>
    </row>
    <row r="51" customFormat="false" ht="15" hidden="false" customHeight="false" outlineLevel="0" collapsed="false">
      <c r="A51" s="19" t="s">
        <v>279</v>
      </c>
      <c r="B51" s="20" t="s">
        <v>86</v>
      </c>
      <c r="C51" s="20" t="s">
        <v>86</v>
      </c>
      <c r="D51" s="20" t="s">
        <v>86</v>
      </c>
      <c r="E51" s="20" t="s">
        <v>86</v>
      </c>
      <c r="F51" s="20" t="s">
        <v>86</v>
      </c>
      <c r="G51" s="20" t="s">
        <v>86</v>
      </c>
      <c r="H51" s="20" t="s">
        <v>154</v>
      </c>
      <c r="I51" s="20" t="s">
        <v>154</v>
      </c>
      <c r="J51" s="20" t="s">
        <v>154</v>
      </c>
      <c r="K51" s="20" t="s">
        <v>154</v>
      </c>
      <c r="L51" s="20" t="s">
        <v>280</v>
      </c>
      <c r="M51" s="20" t="s">
        <v>281</v>
      </c>
      <c r="N51" s="21" t="n">
        <f aca="false">COUNTIF(B51:M51,"Yes*")</f>
        <v>10</v>
      </c>
      <c r="O51" s="21" t="str">
        <f aca="false">IF(COUNTIF(B51:M51,"Yes*")=12,"Shared by all",IF(AND(LEFT(B51,3)="Yes",COUNTIF(B51:M51,"Yes*")=1),"Only PageBinder",IF(AND(LEFT(B51,3)="Yes",COUNTIF(B51:M51,"Yes*")=2),"PageBinder and one other",IF(AND(LEFT(B51,3)&lt;&gt;"Yes",COUNTIF(B51:M51,"Yes*")=11),"All except PageBinder",IF(AND(LEFT(B51,3)&lt;&gt;"Yes",COUNTIF(B51:M51,"Yes*")&gt;=9),"Most others, not PageBinder",IF(AND(LEFT(B51,3)="Yes",COUNTIF(B51:M51,"Yes*")&lt;=4),"PageBinder and a few others",""))))))</f>
        <v/>
      </c>
      <c r="P51" s="22"/>
      <c r="Q51" s="23" t="s">
        <v>275</v>
      </c>
      <c r="R51" s="23" t="str">
        <f aca="false">IF(O51="Only PageBinder",COUNTIF(O$5:O51,"Only PageBinder"),"")</f>
        <v/>
      </c>
      <c r="S51" s="23" t="str">
        <f aca="false">IF(O51="PageBinder and one other",COUNTIF(O$5:O51,"PageBinder and one other"),"")</f>
        <v/>
      </c>
      <c r="T51" s="23" t="str">
        <f aca="false">IF(O51="PageBinder and a few others",COUNTIF(O$5:O51,"PageBinder and a few others"),"")</f>
        <v/>
      </c>
      <c r="U51" s="23" t="str">
        <f aca="false">IF(O51="Most others, not PageBinder",COUNTIF(O$5:O51,"Most others, not PageBinder"),"")</f>
        <v/>
      </c>
      <c r="V51" s="23" t="str">
        <f aca="false">IF(O51="All except PageBinder",COUNTIF(O$5:O51,"All except PageBinder"),"")</f>
        <v/>
      </c>
      <c r="W51" s="23" t="str">
        <f aca="false">IF(O51="Shared by all",COUNTIF(O$5:O51,"Shared by all"),"")</f>
        <v/>
      </c>
    </row>
    <row r="52" customFormat="false" ht="35.05" hidden="false" customHeight="false" outlineLevel="0" collapsed="false">
      <c r="A52" s="19" t="s">
        <v>282</v>
      </c>
      <c r="B52" s="20" t="s">
        <v>283</v>
      </c>
      <c r="C52" s="20" t="s">
        <v>284</v>
      </c>
      <c r="D52" s="20" t="s">
        <v>179</v>
      </c>
      <c r="E52" s="20" t="s">
        <v>285</v>
      </c>
      <c r="F52" s="20" t="s">
        <v>79</v>
      </c>
      <c r="G52" s="20" t="s">
        <v>286</v>
      </c>
      <c r="H52" s="20" t="s">
        <v>79</v>
      </c>
      <c r="I52" s="20" t="s">
        <v>79</v>
      </c>
      <c r="J52" s="20" t="s">
        <v>79</v>
      </c>
      <c r="K52" s="20" t="s">
        <v>79</v>
      </c>
      <c r="L52" s="20" t="s">
        <v>79</v>
      </c>
      <c r="M52" s="20" t="s">
        <v>79</v>
      </c>
      <c r="N52" s="21" t="n">
        <f aca="false">COUNTIF(B52:M52,"Yes*")</f>
        <v>1</v>
      </c>
      <c r="O52" s="21" t="str">
        <f aca="false">IF(COUNTIF(B52:M52,"Yes*")=12,"Shared by all",IF(AND(LEFT(B52,3)="Yes",COUNTIF(B52:M52,"Yes*")=1),"Only PageBinder",IF(AND(LEFT(B52,3)="Yes",COUNTIF(B52:M52,"Yes*")=2),"PageBinder and one other",IF(AND(LEFT(B52,3)&lt;&gt;"Yes",COUNTIF(B52:M52,"Yes*")=11),"All except PageBinder",IF(AND(LEFT(B52,3)&lt;&gt;"Yes",COUNTIF(B52:M52,"Yes*")&gt;=9),"Most others, not PageBinder",IF(AND(LEFT(B52,3)="Yes",COUNTIF(B52:M52,"Yes*")&lt;=4),"PageBinder and a few others",""))))))</f>
        <v/>
      </c>
      <c r="P52" s="22"/>
      <c r="Q52" s="23" t="s">
        <v>275</v>
      </c>
      <c r="R52" s="23" t="str">
        <f aca="false">IF(O52="Only PageBinder",COUNTIF(O$5:O52,"Only PageBinder"),"")</f>
        <v/>
      </c>
      <c r="S52" s="23" t="str">
        <f aca="false">IF(O52="PageBinder and one other",COUNTIF(O$5:O52,"PageBinder and one other"),"")</f>
        <v/>
      </c>
      <c r="T52" s="23" t="str">
        <f aca="false">IF(O52="PageBinder and a few others",COUNTIF(O$5:O52,"PageBinder and a few others"),"")</f>
        <v/>
      </c>
      <c r="U52" s="23" t="str">
        <f aca="false">IF(O52="Most others, not PageBinder",COUNTIF(O$5:O52,"Most others, not PageBinder"),"")</f>
        <v/>
      </c>
      <c r="V52" s="23" t="str">
        <f aca="false">IF(O52="All except PageBinder",COUNTIF(O$5:O52,"All except PageBinder"),"")</f>
        <v/>
      </c>
      <c r="W52" s="23" t="str">
        <f aca="false">IF(O52="Shared by all",COUNTIF(O$5:O52,"Shared by all"),"")</f>
        <v/>
      </c>
    </row>
    <row r="53" customFormat="false" ht="35.05" hidden="false" customHeight="false" outlineLevel="0" collapsed="false">
      <c r="A53" s="19" t="s">
        <v>287</v>
      </c>
      <c r="B53" s="20" t="s">
        <v>288</v>
      </c>
      <c r="C53" s="20" t="s">
        <v>289</v>
      </c>
      <c r="D53" s="20" t="s">
        <v>290</v>
      </c>
      <c r="E53" s="20" t="s">
        <v>289</v>
      </c>
      <c r="F53" s="20" t="s">
        <v>291</v>
      </c>
      <c r="G53" s="20" t="s">
        <v>292</v>
      </c>
      <c r="H53" s="20" t="s">
        <v>289</v>
      </c>
      <c r="I53" s="20" t="s">
        <v>289</v>
      </c>
      <c r="J53" s="20" t="s">
        <v>289</v>
      </c>
      <c r="K53" s="20" t="s">
        <v>289</v>
      </c>
      <c r="L53" s="20" t="s">
        <v>289</v>
      </c>
      <c r="M53" s="20" t="s">
        <v>210</v>
      </c>
      <c r="N53" s="21" t="n">
        <f aca="false">COUNTIF(B53:M53,"Yes*")</f>
        <v>3</v>
      </c>
      <c r="O53" s="21" t="str">
        <f aca="false">IF(COUNTIF(B53:M53,"Yes*")=12,"Shared by all",IF(AND(LEFT(B53,3)="Yes",COUNTIF(B53:M53,"Yes*")=1),"Only PageBinder",IF(AND(LEFT(B53,3)="Yes",COUNTIF(B53:M53,"Yes*")=2),"PageBinder and one other",IF(AND(LEFT(B53,3)&lt;&gt;"Yes",COUNTIF(B53:M53,"Yes*")=11),"All except PageBinder",IF(AND(LEFT(B53,3)&lt;&gt;"Yes",COUNTIF(B53:M53,"Yes*")&gt;=9),"Most others, not PageBinder",IF(AND(LEFT(B53,3)="Yes",COUNTIF(B53:M53,"Yes*")&lt;=4),"PageBinder and a few others",""))))))</f>
        <v>PageBinder and a few others</v>
      </c>
      <c r="P53" s="22"/>
      <c r="Q53" s="23" t="s">
        <v>275</v>
      </c>
      <c r="R53" s="23" t="str">
        <f aca="false">IF(O53="Only PageBinder",COUNTIF(O$5:O53,"Only PageBinder"),"")</f>
        <v/>
      </c>
      <c r="S53" s="23" t="str">
        <f aca="false">IF(O53="PageBinder and one other",COUNTIF(O$5:O53,"PageBinder and one other"),"")</f>
        <v/>
      </c>
      <c r="T53" s="23" t="n">
        <f aca="false">IF(O53="PageBinder and a few others",COUNTIF(O$5:O53,"PageBinder and a few others"),"")</f>
        <v>4</v>
      </c>
      <c r="U53" s="23" t="str">
        <f aca="false">IF(O53="Most others, not PageBinder",COUNTIF(O$5:O53,"Most others, not PageBinder"),"")</f>
        <v/>
      </c>
      <c r="V53" s="23" t="str">
        <f aca="false">IF(O53="All except PageBinder",COUNTIF(O$5:O53,"All except PageBinder"),"")</f>
        <v/>
      </c>
      <c r="W53" s="23" t="str">
        <f aca="false">IF(O53="Shared by all",COUNTIF(O$5:O53,"Shared by all"),"")</f>
        <v/>
      </c>
    </row>
    <row r="54" customFormat="false" ht="15" hidden="false" customHeight="false" outlineLevel="0" collapsed="false">
      <c r="A54" s="17" t="s">
        <v>293</v>
      </c>
      <c r="B54" s="17"/>
      <c r="C54" s="17"/>
      <c r="D54" s="17"/>
      <c r="E54" s="17"/>
      <c r="F54" s="17"/>
      <c r="G54" s="17"/>
      <c r="H54" s="17"/>
      <c r="I54" s="17"/>
      <c r="J54" s="17"/>
      <c r="K54" s="17"/>
      <c r="L54" s="17"/>
      <c r="M54" s="17"/>
      <c r="N54" s="17"/>
      <c r="O54" s="17"/>
      <c r="P54" s="17"/>
      <c r="Q54" s="18" t="s">
        <v>293</v>
      </c>
    </row>
    <row r="55" customFormat="false" ht="15" hidden="false" customHeight="false" outlineLevel="0" collapsed="false">
      <c r="A55" s="19" t="s">
        <v>294</v>
      </c>
      <c r="B55" s="20" t="s">
        <v>86</v>
      </c>
      <c r="C55" s="20" t="s">
        <v>86</v>
      </c>
      <c r="D55" s="20" t="s">
        <v>86</v>
      </c>
      <c r="E55" s="20" t="s">
        <v>86</v>
      </c>
      <c r="F55" s="20" t="s">
        <v>86</v>
      </c>
      <c r="G55" s="20" t="s">
        <v>86</v>
      </c>
      <c r="H55" s="20" t="s">
        <v>86</v>
      </c>
      <c r="I55" s="20" t="s">
        <v>86</v>
      </c>
      <c r="J55" s="20" t="s">
        <v>86</v>
      </c>
      <c r="K55" s="20" t="s">
        <v>86</v>
      </c>
      <c r="L55" s="20" t="s">
        <v>86</v>
      </c>
      <c r="M55" s="20" t="s">
        <v>295</v>
      </c>
      <c r="N55" s="21" t="n">
        <f aca="false">COUNTIF(B55:M55,"Yes*")</f>
        <v>11</v>
      </c>
      <c r="O55" s="21" t="str">
        <f aca="false">IF(COUNTIF(B55:M55,"Yes*")=12,"Shared by all",IF(AND(LEFT(B55,3)="Yes",COUNTIF(B55:M55,"Yes*")=1),"Only PageBinder",IF(AND(LEFT(B55,3)="Yes",COUNTIF(B55:M55,"Yes*")=2),"PageBinder and one other",IF(AND(LEFT(B55,3)&lt;&gt;"Yes",COUNTIF(B55:M55,"Yes*")=11),"All except PageBinder",IF(AND(LEFT(B55,3)&lt;&gt;"Yes",COUNTIF(B55:M55,"Yes*")&gt;=9),"Most others, not PageBinder",IF(AND(LEFT(B55,3)="Yes",COUNTIF(B55:M55,"Yes*")&lt;=4),"PageBinder and a few others",""))))))</f>
        <v/>
      </c>
      <c r="P55" s="22"/>
      <c r="Q55" s="23" t="s">
        <v>293</v>
      </c>
      <c r="R55" s="23" t="str">
        <f aca="false">IF(O55="Only PageBinder",COUNTIF(O$5:O55,"Only PageBinder"),"")</f>
        <v/>
      </c>
      <c r="S55" s="23" t="str">
        <f aca="false">IF(O55="PageBinder and one other",COUNTIF(O$5:O55,"PageBinder and one other"),"")</f>
        <v/>
      </c>
      <c r="T55" s="23" t="str">
        <f aca="false">IF(O55="PageBinder and a few others",COUNTIF(O$5:O55,"PageBinder and a few others"),"")</f>
        <v/>
      </c>
      <c r="U55" s="23" t="str">
        <f aca="false">IF(O55="Most others, not PageBinder",COUNTIF(O$5:O55,"Most others, not PageBinder"),"")</f>
        <v/>
      </c>
      <c r="V55" s="23" t="str">
        <f aca="false">IF(O55="All except PageBinder",COUNTIF(O$5:O55,"All except PageBinder"),"")</f>
        <v/>
      </c>
      <c r="W55" s="23" t="str">
        <f aca="false">IF(O55="Shared by all",COUNTIF(O$5:O55,"Shared by all"),"")</f>
        <v/>
      </c>
    </row>
    <row r="56" customFormat="false" ht="35.05" hidden="false" customHeight="false" outlineLevel="0" collapsed="false">
      <c r="A56" s="19" t="s">
        <v>296</v>
      </c>
      <c r="B56" s="20" t="s">
        <v>297</v>
      </c>
      <c r="C56" s="20" t="s">
        <v>298</v>
      </c>
      <c r="D56" s="20" t="s">
        <v>299</v>
      </c>
      <c r="E56" s="20" t="s">
        <v>300</v>
      </c>
      <c r="F56" s="20" t="s">
        <v>301</v>
      </c>
      <c r="G56" s="20" t="s">
        <v>302</v>
      </c>
      <c r="H56" s="20" t="s">
        <v>303</v>
      </c>
      <c r="I56" s="20" t="s">
        <v>289</v>
      </c>
      <c r="J56" s="20" t="s">
        <v>154</v>
      </c>
      <c r="K56" s="20" t="s">
        <v>304</v>
      </c>
      <c r="L56" s="20" t="s">
        <v>305</v>
      </c>
      <c r="M56" s="20" t="s">
        <v>79</v>
      </c>
      <c r="N56" s="21" t="n">
        <f aca="false">COUNTIF(B56:M56,"Yes*")</f>
        <v>7</v>
      </c>
      <c r="O56" s="21" t="str">
        <f aca="false">IF(COUNTIF(B56:M56,"Yes*")=12,"Shared by all",IF(AND(LEFT(B56,3)="Yes",COUNTIF(B56:M56,"Yes*")=1),"Only PageBinder",IF(AND(LEFT(B56,3)="Yes",COUNTIF(B56:M56,"Yes*")=2),"PageBinder and one other",IF(AND(LEFT(B56,3)&lt;&gt;"Yes",COUNTIF(B56:M56,"Yes*")=11),"All except PageBinder",IF(AND(LEFT(B56,3)&lt;&gt;"Yes",COUNTIF(B56:M56,"Yes*")&gt;=9),"Most others, not PageBinder",IF(AND(LEFT(B56,3)="Yes",COUNTIF(B56:M56,"Yes*")&lt;=4),"PageBinder and a few others",""))))))</f>
        <v/>
      </c>
      <c r="P56" s="22"/>
      <c r="Q56" s="23" t="s">
        <v>293</v>
      </c>
      <c r="R56" s="23" t="str">
        <f aca="false">IF(O56="Only PageBinder",COUNTIF(O$5:O56,"Only PageBinder"),"")</f>
        <v/>
      </c>
      <c r="S56" s="23" t="str">
        <f aca="false">IF(O56="PageBinder and one other",COUNTIF(O$5:O56,"PageBinder and one other"),"")</f>
        <v/>
      </c>
      <c r="T56" s="23" t="str">
        <f aca="false">IF(O56="PageBinder and a few others",COUNTIF(O$5:O56,"PageBinder and a few others"),"")</f>
        <v/>
      </c>
      <c r="U56" s="23" t="str">
        <f aca="false">IF(O56="Most others, not PageBinder",COUNTIF(O$5:O56,"Most others, not PageBinder"),"")</f>
        <v/>
      </c>
      <c r="V56" s="23" t="str">
        <f aca="false">IF(O56="All except PageBinder",COUNTIF(O$5:O56,"All except PageBinder"),"")</f>
        <v/>
      </c>
      <c r="W56" s="23" t="str">
        <f aca="false">IF(O56="Shared by all",COUNTIF(O$5:O56,"Shared by all"),"")</f>
        <v/>
      </c>
    </row>
    <row r="57" customFormat="false" ht="23.85" hidden="false" customHeight="false" outlineLevel="0" collapsed="false">
      <c r="A57" s="19" t="s">
        <v>306</v>
      </c>
      <c r="B57" s="20" t="s">
        <v>307</v>
      </c>
      <c r="C57" s="20" t="s">
        <v>86</v>
      </c>
      <c r="D57" s="20" t="s">
        <v>308</v>
      </c>
      <c r="E57" s="20" t="s">
        <v>79</v>
      </c>
      <c r="F57" s="20" t="s">
        <v>309</v>
      </c>
      <c r="G57" s="20" t="s">
        <v>310</v>
      </c>
      <c r="H57" s="20" t="s">
        <v>86</v>
      </c>
      <c r="I57" s="20" t="s">
        <v>86</v>
      </c>
      <c r="J57" s="20" t="s">
        <v>86</v>
      </c>
      <c r="K57" s="20" t="s">
        <v>86</v>
      </c>
      <c r="L57" s="20" t="s">
        <v>79</v>
      </c>
      <c r="M57" s="20" t="s">
        <v>79</v>
      </c>
      <c r="N57" s="21" t="n">
        <f aca="false">COUNTIF(B57:M57,"Yes*")</f>
        <v>7</v>
      </c>
      <c r="O57" s="21" t="str">
        <f aca="false">IF(COUNTIF(B57:M57,"Yes*")=12,"Shared by all",IF(AND(LEFT(B57,3)="Yes",COUNTIF(B57:M57,"Yes*")=1),"Only PageBinder",IF(AND(LEFT(B57,3)="Yes",COUNTIF(B57:M57,"Yes*")=2),"PageBinder and one other",IF(AND(LEFT(B57,3)&lt;&gt;"Yes",COUNTIF(B57:M57,"Yes*")=11),"All except PageBinder",IF(AND(LEFT(B57,3)&lt;&gt;"Yes",COUNTIF(B57:M57,"Yes*")&gt;=9),"Most others, not PageBinder",IF(AND(LEFT(B57,3)="Yes",COUNTIF(B57:M57,"Yes*")&lt;=4),"PageBinder and a few others",""))))))</f>
        <v/>
      </c>
      <c r="P57" s="22"/>
      <c r="Q57" s="23" t="s">
        <v>293</v>
      </c>
      <c r="R57" s="23" t="str">
        <f aca="false">IF(O57="Only PageBinder",COUNTIF(O$5:O57,"Only PageBinder"),"")</f>
        <v/>
      </c>
      <c r="S57" s="23" t="str">
        <f aca="false">IF(O57="PageBinder and one other",COUNTIF(O$5:O57,"PageBinder and one other"),"")</f>
        <v/>
      </c>
      <c r="T57" s="23" t="str">
        <f aca="false">IF(O57="PageBinder and a few others",COUNTIF(O$5:O57,"PageBinder and a few others"),"")</f>
        <v/>
      </c>
      <c r="U57" s="23" t="str">
        <f aca="false">IF(O57="Most others, not PageBinder",COUNTIF(O$5:O57,"Most others, not PageBinder"),"")</f>
        <v/>
      </c>
      <c r="V57" s="23" t="str">
        <f aca="false">IF(O57="All except PageBinder",COUNTIF(O$5:O57,"All except PageBinder"),"")</f>
        <v/>
      </c>
      <c r="W57" s="23" t="str">
        <f aca="false">IF(O57="Shared by all",COUNTIF(O$5:O57,"Shared by all"),"")</f>
        <v/>
      </c>
    </row>
    <row r="58" customFormat="false" ht="35.05" hidden="false" customHeight="false" outlineLevel="0" collapsed="false">
      <c r="A58" s="19" t="s">
        <v>311</v>
      </c>
      <c r="B58" s="20" t="s">
        <v>312</v>
      </c>
      <c r="C58" s="20" t="s">
        <v>79</v>
      </c>
      <c r="D58" s="20" t="s">
        <v>79</v>
      </c>
      <c r="E58" s="20" t="s">
        <v>79</v>
      </c>
      <c r="F58" s="20" t="s">
        <v>79</v>
      </c>
      <c r="G58" s="20" t="s">
        <v>79</v>
      </c>
      <c r="H58" s="20" t="s">
        <v>79</v>
      </c>
      <c r="I58" s="20" t="s">
        <v>79</v>
      </c>
      <c r="J58" s="20" t="s">
        <v>79</v>
      </c>
      <c r="K58" s="20" t="s">
        <v>79</v>
      </c>
      <c r="L58" s="20" t="s">
        <v>79</v>
      </c>
      <c r="M58" s="20" t="s">
        <v>79</v>
      </c>
      <c r="N58" s="21" t="n">
        <f aca="false">COUNTIF(B58:M58,"Yes*")</f>
        <v>1</v>
      </c>
      <c r="O58" s="21" t="str">
        <f aca="false">IF(COUNTIF(B58:M58,"Yes*")=12,"Shared by all",IF(AND(LEFT(B58,3)="Yes",COUNTIF(B58:M58,"Yes*")=1),"Only PageBinder",IF(AND(LEFT(B58,3)="Yes",COUNTIF(B58:M58,"Yes*")=2),"PageBinder and one other",IF(AND(LEFT(B58,3)&lt;&gt;"Yes",COUNTIF(B58:M58,"Yes*")=11),"All except PageBinder",IF(AND(LEFT(B58,3)&lt;&gt;"Yes",COUNTIF(B58:M58,"Yes*")&gt;=9),"Most others, not PageBinder",IF(AND(LEFT(B58,3)="Yes",COUNTIF(B58:M58,"Yes*")&lt;=4),"PageBinder and a few others",""))))))</f>
        <v>Only PageBinder</v>
      </c>
      <c r="P58" s="22"/>
      <c r="Q58" s="23" t="s">
        <v>293</v>
      </c>
      <c r="R58" s="23" t="n">
        <f aca="false">IF(O58="Only PageBinder",COUNTIF(O$5:O58,"Only PageBinder"),"")</f>
        <v>3</v>
      </c>
      <c r="S58" s="23" t="str">
        <f aca="false">IF(O58="PageBinder and one other",COUNTIF(O$5:O58,"PageBinder and one other"),"")</f>
        <v/>
      </c>
      <c r="T58" s="23" t="str">
        <f aca="false">IF(O58="PageBinder and a few others",COUNTIF(O$5:O58,"PageBinder and a few others"),"")</f>
        <v/>
      </c>
      <c r="U58" s="23" t="str">
        <f aca="false">IF(O58="Most others, not PageBinder",COUNTIF(O$5:O58,"Most others, not PageBinder"),"")</f>
        <v/>
      </c>
      <c r="V58" s="23" t="str">
        <f aca="false">IF(O58="All except PageBinder",COUNTIF(O$5:O58,"All except PageBinder"),"")</f>
        <v/>
      </c>
      <c r="W58" s="23" t="str">
        <f aca="false">IF(O58="Shared by all",COUNTIF(O$5:O58,"Shared by all"),"")</f>
        <v/>
      </c>
    </row>
    <row r="59" customFormat="false" ht="23.85" hidden="false" customHeight="false" outlineLevel="0" collapsed="false">
      <c r="A59" s="19" t="s">
        <v>313</v>
      </c>
      <c r="B59" s="20" t="s">
        <v>86</v>
      </c>
      <c r="C59" s="20" t="s">
        <v>79</v>
      </c>
      <c r="D59" s="20" t="s">
        <v>79</v>
      </c>
      <c r="E59" s="20" t="s">
        <v>79</v>
      </c>
      <c r="F59" s="20" t="s">
        <v>79</v>
      </c>
      <c r="G59" s="20" t="s">
        <v>79</v>
      </c>
      <c r="H59" s="20" t="s">
        <v>79</v>
      </c>
      <c r="I59" s="20" t="s">
        <v>79</v>
      </c>
      <c r="J59" s="20" t="s">
        <v>79</v>
      </c>
      <c r="K59" s="20" t="s">
        <v>79</v>
      </c>
      <c r="L59" s="20" t="s">
        <v>79</v>
      </c>
      <c r="M59" s="20" t="s">
        <v>79</v>
      </c>
      <c r="N59" s="21" t="n">
        <f aca="false">COUNTIF(B59:M59,"Yes*")</f>
        <v>1</v>
      </c>
      <c r="O59" s="21" t="str">
        <f aca="false">IF(COUNTIF(B59:M59,"Yes*")=12,"Shared by all",IF(AND(LEFT(B59,3)="Yes",COUNTIF(B59:M59,"Yes*")=1),"Only PageBinder",IF(AND(LEFT(B59,3)="Yes",COUNTIF(B59:M59,"Yes*")=2),"PageBinder and one other",IF(AND(LEFT(B59,3)&lt;&gt;"Yes",COUNTIF(B59:M59,"Yes*")=11),"All except PageBinder",IF(AND(LEFT(B59,3)&lt;&gt;"Yes",COUNTIF(B59:M59,"Yes*")&gt;=9),"Most others, not PageBinder",IF(AND(LEFT(B59,3)="Yes",COUNTIF(B59:M59,"Yes*")&lt;=4),"PageBinder and a few others",""))))))</f>
        <v>Only PageBinder</v>
      </c>
      <c r="P59" s="22"/>
      <c r="Q59" s="23" t="s">
        <v>293</v>
      </c>
      <c r="R59" s="23" t="n">
        <f aca="false">IF(O59="Only PageBinder",COUNTIF(O$5:O59,"Only PageBinder"),"")</f>
        <v>4</v>
      </c>
      <c r="S59" s="23" t="str">
        <f aca="false">IF(O59="PageBinder and one other",COUNTIF(O$5:O59,"PageBinder and one other"),"")</f>
        <v/>
      </c>
      <c r="T59" s="23" t="str">
        <f aca="false">IF(O59="PageBinder and a few others",COUNTIF(O$5:O59,"PageBinder and a few others"),"")</f>
        <v/>
      </c>
      <c r="U59" s="23" t="str">
        <f aca="false">IF(O59="Most others, not PageBinder",COUNTIF(O$5:O59,"Most others, not PageBinder"),"")</f>
        <v/>
      </c>
      <c r="V59" s="23" t="str">
        <f aca="false">IF(O59="All except PageBinder",COUNTIF(O$5:O59,"All except PageBinder"),"")</f>
        <v/>
      </c>
      <c r="W59" s="23" t="str">
        <f aca="false">IF(O59="Shared by all",COUNTIF(O$5:O59,"Shared by all"),"")</f>
        <v/>
      </c>
    </row>
    <row r="60" customFormat="false" ht="15" hidden="false" customHeight="false" outlineLevel="0" collapsed="false">
      <c r="A60" s="17" t="s">
        <v>314</v>
      </c>
      <c r="B60" s="17"/>
      <c r="C60" s="17"/>
      <c r="D60" s="17"/>
      <c r="E60" s="17"/>
      <c r="F60" s="17"/>
      <c r="G60" s="17"/>
      <c r="H60" s="17"/>
      <c r="I60" s="17"/>
      <c r="J60" s="17"/>
      <c r="K60" s="17"/>
      <c r="L60" s="17"/>
      <c r="M60" s="17"/>
      <c r="N60" s="17"/>
      <c r="O60" s="17"/>
      <c r="P60" s="17"/>
      <c r="Q60" s="18" t="s">
        <v>314</v>
      </c>
    </row>
    <row r="61" customFormat="false" ht="35.05" hidden="false" customHeight="false" outlineLevel="0" collapsed="false">
      <c r="A61" s="19" t="s">
        <v>315</v>
      </c>
      <c r="B61" s="20" t="s">
        <v>316</v>
      </c>
      <c r="C61" s="20" t="s">
        <v>317</v>
      </c>
      <c r="D61" s="20" t="s">
        <v>318</v>
      </c>
      <c r="E61" s="20" t="s">
        <v>319</v>
      </c>
      <c r="F61" s="20" t="s">
        <v>320</v>
      </c>
      <c r="G61" s="20" t="s">
        <v>321</v>
      </c>
      <c r="H61" s="20" t="s">
        <v>322</v>
      </c>
      <c r="I61" s="20" t="s">
        <v>323</v>
      </c>
      <c r="J61" s="20" t="s">
        <v>324</v>
      </c>
      <c r="K61" s="20" t="s">
        <v>325</v>
      </c>
      <c r="L61" s="20" t="s">
        <v>326</v>
      </c>
      <c r="M61" s="20" t="s">
        <v>79</v>
      </c>
      <c r="N61" s="21" t="n">
        <f aca="false">COUNTIF(B61:M61,"Yes*")</f>
        <v>6</v>
      </c>
      <c r="O61" s="21" t="str">
        <f aca="false">IF(COUNTIF(B61:M61,"Yes*")=12,"Shared by all",IF(AND(LEFT(B61,3)="Yes",COUNTIF(B61:M61,"Yes*")=1),"Only PageBinder",IF(AND(LEFT(B61,3)="Yes",COUNTIF(B61:M61,"Yes*")=2),"PageBinder and one other",IF(AND(LEFT(B61,3)&lt;&gt;"Yes",COUNTIF(B61:M61,"Yes*")=11),"All except PageBinder",IF(AND(LEFT(B61,3)&lt;&gt;"Yes",COUNTIF(B61:M61,"Yes*")&gt;=9),"Most others, not PageBinder",IF(AND(LEFT(B61,3)="Yes",COUNTIF(B61:M61,"Yes*")&lt;=4),"PageBinder and a few others",""))))))</f>
        <v/>
      </c>
      <c r="P61" s="22"/>
      <c r="Q61" s="23" t="s">
        <v>314</v>
      </c>
      <c r="R61" s="23" t="str">
        <f aca="false">IF(O61="Only PageBinder",COUNTIF(O$5:O61,"Only PageBinder"),"")</f>
        <v/>
      </c>
      <c r="S61" s="23" t="str">
        <f aca="false">IF(O61="PageBinder and one other",COUNTIF(O$5:O61,"PageBinder and one other"),"")</f>
        <v/>
      </c>
      <c r="T61" s="23" t="str">
        <f aca="false">IF(O61="PageBinder and a few others",COUNTIF(O$5:O61,"PageBinder and a few others"),"")</f>
        <v/>
      </c>
      <c r="U61" s="23" t="str">
        <f aca="false">IF(O61="Most others, not PageBinder",COUNTIF(O$5:O61,"Most others, not PageBinder"),"")</f>
        <v/>
      </c>
      <c r="V61" s="23" t="str">
        <f aca="false">IF(O61="All except PageBinder",COUNTIF(O$5:O61,"All except PageBinder"),"")</f>
        <v/>
      </c>
      <c r="W61" s="23" t="str">
        <f aca="false">IF(O61="Shared by all",COUNTIF(O$5:O61,"Shared by all"),"")</f>
        <v/>
      </c>
    </row>
    <row r="62" customFormat="false" ht="35.05" hidden="false" customHeight="false" outlineLevel="0" collapsed="false">
      <c r="A62" s="19" t="s">
        <v>327</v>
      </c>
      <c r="B62" s="20" t="s">
        <v>210</v>
      </c>
      <c r="C62" s="20" t="s">
        <v>328</v>
      </c>
      <c r="D62" s="20" t="s">
        <v>86</v>
      </c>
      <c r="E62" s="20" t="s">
        <v>86</v>
      </c>
      <c r="F62" s="20" t="s">
        <v>329</v>
      </c>
      <c r="G62" s="20" t="s">
        <v>86</v>
      </c>
      <c r="H62" s="20" t="s">
        <v>208</v>
      </c>
      <c r="I62" s="20" t="s">
        <v>208</v>
      </c>
      <c r="J62" s="20" t="s">
        <v>86</v>
      </c>
      <c r="K62" s="20" t="s">
        <v>86</v>
      </c>
      <c r="L62" s="20" t="s">
        <v>210</v>
      </c>
      <c r="M62" s="20" t="s">
        <v>210</v>
      </c>
      <c r="N62" s="21" t="n">
        <f aca="false">COUNTIF(B62:M62,"Yes*")</f>
        <v>6</v>
      </c>
      <c r="O62" s="21" t="str">
        <f aca="false">IF(COUNTIF(B62:M62,"Yes*")=12,"Shared by all",IF(AND(LEFT(B62,3)="Yes",COUNTIF(B62:M62,"Yes*")=1),"Only PageBinder",IF(AND(LEFT(B62,3)="Yes",COUNTIF(B62:M62,"Yes*")=2),"PageBinder and one other",IF(AND(LEFT(B62,3)&lt;&gt;"Yes",COUNTIF(B62:M62,"Yes*")=11),"All except PageBinder",IF(AND(LEFT(B62,3)&lt;&gt;"Yes",COUNTIF(B62:M62,"Yes*")&gt;=9),"Most others, not PageBinder",IF(AND(LEFT(B62,3)="Yes",COUNTIF(B62:M62,"Yes*")&lt;=4),"PageBinder and a few others",""))))))</f>
        <v/>
      </c>
      <c r="P62" s="22"/>
      <c r="Q62" s="23" t="s">
        <v>314</v>
      </c>
      <c r="R62" s="23" t="str">
        <f aca="false">IF(O62="Only PageBinder",COUNTIF(O$5:O62,"Only PageBinder"),"")</f>
        <v/>
      </c>
      <c r="S62" s="23" t="str">
        <f aca="false">IF(O62="PageBinder and one other",COUNTIF(O$5:O62,"PageBinder and one other"),"")</f>
        <v/>
      </c>
      <c r="T62" s="23" t="str">
        <f aca="false">IF(O62="PageBinder and a few others",COUNTIF(O$5:O62,"PageBinder and a few others"),"")</f>
        <v/>
      </c>
      <c r="U62" s="23" t="str">
        <f aca="false">IF(O62="Most others, not PageBinder",COUNTIF(O$5:O62,"Most others, not PageBinder"),"")</f>
        <v/>
      </c>
      <c r="V62" s="23" t="str">
        <f aca="false">IF(O62="All except PageBinder",COUNTIF(O$5:O62,"All except PageBinder"),"")</f>
        <v/>
      </c>
      <c r="W62" s="23" t="str">
        <f aca="false">IF(O62="Shared by all",COUNTIF(O$5:O62,"Shared by all"),"")</f>
        <v/>
      </c>
    </row>
    <row r="63" customFormat="false" ht="23.85" hidden="false" customHeight="false" outlineLevel="0" collapsed="false">
      <c r="A63" s="19" t="s">
        <v>330</v>
      </c>
      <c r="B63" s="20" t="s">
        <v>79</v>
      </c>
      <c r="C63" s="20" t="s">
        <v>331</v>
      </c>
      <c r="D63" s="20" t="s">
        <v>79</v>
      </c>
      <c r="E63" s="20" t="s">
        <v>332</v>
      </c>
      <c r="F63" s="20" t="s">
        <v>79</v>
      </c>
      <c r="G63" s="20" t="s">
        <v>333</v>
      </c>
      <c r="H63" s="20" t="s">
        <v>86</v>
      </c>
      <c r="I63" s="20" t="s">
        <v>86</v>
      </c>
      <c r="J63" s="20" t="s">
        <v>334</v>
      </c>
      <c r="K63" s="20" t="s">
        <v>79</v>
      </c>
      <c r="L63" s="20" t="s">
        <v>79</v>
      </c>
      <c r="M63" s="20" t="s">
        <v>79</v>
      </c>
      <c r="N63" s="21" t="n">
        <f aca="false">COUNTIF(B63:M63,"Yes*")</f>
        <v>3</v>
      </c>
      <c r="O63" s="21" t="str">
        <f aca="false">IF(COUNTIF(B63:M63,"Yes*")=12,"Shared by all",IF(AND(LEFT(B63,3)="Yes",COUNTIF(B63:M63,"Yes*")=1),"Only PageBinder",IF(AND(LEFT(B63,3)="Yes",COUNTIF(B63:M63,"Yes*")=2),"PageBinder and one other",IF(AND(LEFT(B63,3)&lt;&gt;"Yes",COUNTIF(B63:M63,"Yes*")=11),"All except PageBinder",IF(AND(LEFT(B63,3)&lt;&gt;"Yes",COUNTIF(B63:M63,"Yes*")&gt;=9),"Most others, not PageBinder",IF(AND(LEFT(B63,3)="Yes",COUNTIF(B63:M63,"Yes*")&lt;=4),"PageBinder and a few others",""))))))</f>
        <v/>
      </c>
      <c r="P63" s="22"/>
      <c r="Q63" s="23" t="s">
        <v>314</v>
      </c>
      <c r="R63" s="23" t="str">
        <f aca="false">IF(O63="Only PageBinder",COUNTIF(O$5:O63,"Only PageBinder"),"")</f>
        <v/>
      </c>
      <c r="S63" s="23" t="str">
        <f aca="false">IF(O63="PageBinder and one other",COUNTIF(O$5:O63,"PageBinder and one other"),"")</f>
        <v/>
      </c>
      <c r="T63" s="23" t="str">
        <f aca="false">IF(O63="PageBinder and a few others",COUNTIF(O$5:O63,"PageBinder and a few others"),"")</f>
        <v/>
      </c>
      <c r="U63" s="23" t="str">
        <f aca="false">IF(O63="Most others, not PageBinder",COUNTIF(O$5:O63,"Most others, not PageBinder"),"")</f>
        <v/>
      </c>
      <c r="V63" s="23" t="str">
        <f aca="false">IF(O63="All except PageBinder",COUNTIF(O$5:O63,"All except PageBinder"),"")</f>
        <v/>
      </c>
      <c r="W63" s="23" t="str">
        <f aca="false">IF(O63="Shared by all",COUNTIF(O$5:O63,"Shared by all"),"")</f>
        <v/>
      </c>
    </row>
    <row r="64" customFormat="false" ht="15" hidden="false" customHeight="false" outlineLevel="0" collapsed="false">
      <c r="A64" s="19" t="s">
        <v>335</v>
      </c>
      <c r="B64" s="20" t="s">
        <v>79</v>
      </c>
      <c r="C64" s="20" t="s">
        <v>79</v>
      </c>
      <c r="D64" s="20" t="s">
        <v>79</v>
      </c>
      <c r="E64" s="20" t="s">
        <v>79</v>
      </c>
      <c r="F64" s="20" t="s">
        <v>336</v>
      </c>
      <c r="G64" s="20" t="s">
        <v>172</v>
      </c>
      <c r="H64" s="20" t="s">
        <v>79</v>
      </c>
      <c r="I64" s="20" t="s">
        <v>79</v>
      </c>
      <c r="J64" s="20" t="s">
        <v>86</v>
      </c>
      <c r="K64" s="20" t="s">
        <v>86</v>
      </c>
      <c r="L64" s="20" t="s">
        <v>79</v>
      </c>
      <c r="M64" s="20" t="s">
        <v>79</v>
      </c>
      <c r="N64" s="21" t="n">
        <f aca="false">COUNTIF(B64:M64,"Yes*")</f>
        <v>2</v>
      </c>
      <c r="O64" s="21" t="str">
        <f aca="false">IF(COUNTIF(B64:M64,"Yes*")=12,"Shared by all",IF(AND(LEFT(B64,3)="Yes",COUNTIF(B64:M64,"Yes*")=1),"Only PageBinder",IF(AND(LEFT(B64,3)="Yes",COUNTIF(B64:M64,"Yes*")=2),"PageBinder and one other",IF(AND(LEFT(B64,3)&lt;&gt;"Yes",COUNTIF(B64:M64,"Yes*")=11),"All except PageBinder",IF(AND(LEFT(B64,3)&lt;&gt;"Yes",COUNTIF(B64:M64,"Yes*")&gt;=9),"Most others, not PageBinder",IF(AND(LEFT(B64,3)="Yes",COUNTIF(B64:M64,"Yes*")&lt;=4),"PageBinder and a few others",""))))))</f>
        <v/>
      </c>
      <c r="P64" s="22"/>
      <c r="Q64" s="23" t="s">
        <v>314</v>
      </c>
      <c r="R64" s="23" t="str">
        <f aca="false">IF(O64="Only PageBinder",COUNTIF(O$5:O64,"Only PageBinder"),"")</f>
        <v/>
      </c>
      <c r="S64" s="23" t="str">
        <f aca="false">IF(O64="PageBinder and one other",COUNTIF(O$5:O64,"PageBinder and one other"),"")</f>
        <v/>
      </c>
      <c r="T64" s="23" t="str">
        <f aca="false">IF(O64="PageBinder and a few others",COUNTIF(O$5:O64,"PageBinder and a few others"),"")</f>
        <v/>
      </c>
      <c r="U64" s="23" t="str">
        <f aca="false">IF(O64="Most others, not PageBinder",COUNTIF(O$5:O64,"Most others, not PageBinder"),"")</f>
        <v/>
      </c>
      <c r="V64" s="23" t="str">
        <f aca="false">IF(O64="All except PageBinder",COUNTIF(O$5:O64,"All except PageBinder"),"")</f>
        <v/>
      </c>
      <c r="W64" s="23" t="str">
        <f aca="false">IF(O64="Shared by all",COUNTIF(O$5:O64,"Shared by all"),"")</f>
        <v/>
      </c>
    </row>
    <row r="65" customFormat="false" ht="15" hidden="false" customHeight="false" outlineLevel="0" collapsed="false">
      <c r="A65" s="19" t="s">
        <v>337</v>
      </c>
      <c r="B65" s="20" t="s">
        <v>338</v>
      </c>
      <c r="C65" s="20" t="s">
        <v>339</v>
      </c>
      <c r="D65" s="20" t="s">
        <v>79</v>
      </c>
      <c r="E65" s="20" t="s">
        <v>79</v>
      </c>
      <c r="F65" s="20" t="s">
        <v>86</v>
      </c>
      <c r="G65" s="20" t="s">
        <v>340</v>
      </c>
      <c r="H65" s="20" t="s">
        <v>86</v>
      </c>
      <c r="I65" s="20" t="s">
        <v>86</v>
      </c>
      <c r="J65" s="20" t="s">
        <v>86</v>
      </c>
      <c r="K65" s="20" t="s">
        <v>341</v>
      </c>
      <c r="L65" s="20" t="s">
        <v>210</v>
      </c>
      <c r="M65" s="20" t="s">
        <v>210</v>
      </c>
      <c r="N65" s="21" t="n">
        <f aca="false">COUNTIF(B65:M65,"Yes*")</f>
        <v>6</v>
      </c>
      <c r="O65" s="21" t="str">
        <f aca="false">IF(COUNTIF(B65:M65,"Yes*")=12,"Shared by all",IF(AND(LEFT(B65,3)="Yes",COUNTIF(B65:M65,"Yes*")=1),"Only PageBinder",IF(AND(LEFT(B65,3)="Yes",COUNTIF(B65:M65,"Yes*")=2),"PageBinder and one other",IF(AND(LEFT(B65,3)&lt;&gt;"Yes",COUNTIF(B65:M65,"Yes*")=11),"All except PageBinder",IF(AND(LEFT(B65,3)&lt;&gt;"Yes",COUNTIF(B65:M65,"Yes*")&gt;=9),"Most others, not PageBinder",IF(AND(LEFT(B65,3)="Yes",COUNTIF(B65:M65,"Yes*")&lt;=4),"PageBinder and a few others",""))))))</f>
        <v/>
      </c>
      <c r="P65" s="22"/>
      <c r="Q65" s="23" t="s">
        <v>314</v>
      </c>
      <c r="R65" s="23" t="str">
        <f aca="false">IF(O65="Only PageBinder",COUNTIF(O$5:O65,"Only PageBinder"),"")</f>
        <v/>
      </c>
      <c r="S65" s="23" t="str">
        <f aca="false">IF(O65="PageBinder and one other",COUNTIF(O$5:O65,"PageBinder and one other"),"")</f>
        <v/>
      </c>
      <c r="T65" s="23" t="str">
        <f aca="false">IF(O65="PageBinder and a few others",COUNTIF(O$5:O65,"PageBinder and a few others"),"")</f>
        <v/>
      </c>
      <c r="U65" s="23" t="str">
        <f aca="false">IF(O65="Most others, not PageBinder",COUNTIF(O$5:O65,"Most others, not PageBinder"),"")</f>
        <v/>
      </c>
      <c r="V65" s="23" t="str">
        <f aca="false">IF(O65="All except PageBinder",COUNTIF(O$5:O65,"All except PageBinder"),"")</f>
        <v/>
      </c>
      <c r="W65" s="23" t="str">
        <f aca="false">IF(O65="Shared by all",COUNTIF(O$5:O65,"Shared by all"),"")</f>
        <v/>
      </c>
    </row>
    <row r="66" customFormat="false" ht="15" hidden="false" customHeight="false" outlineLevel="0" collapsed="false">
      <c r="A66" s="17" t="s">
        <v>342</v>
      </c>
      <c r="B66" s="17"/>
      <c r="C66" s="17"/>
      <c r="D66" s="17"/>
      <c r="E66" s="17"/>
      <c r="F66" s="17"/>
      <c r="G66" s="17"/>
      <c r="H66" s="17"/>
      <c r="I66" s="17"/>
      <c r="J66" s="17"/>
      <c r="K66" s="17"/>
      <c r="L66" s="17"/>
      <c r="M66" s="17"/>
      <c r="N66" s="17"/>
      <c r="O66" s="17"/>
      <c r="P66" s="17"/>
      <c r="Q66" s="18" t="s">
        <v>342</v>
      </c>
    </row>
    <row r="67" customFormat="false" ht="23.85" hidden="false" customHeight="false" outlineLevel="0" collapsed="false">
      <c r="A67" s="19" t="s">
        <v>343</v>
      </c>
      <c r="B67" s="20" t="s">
        <v>344</v>
      </c>
      <c r="C67" s="20" t="s">
        <v>86</v>
      </c>
      <c r="D67" s="20" t="s">
        <v>79</v>
      </c>
      <c r="E67" s="20" t="s">
        <v>79</v>
      </c>
      <c r="F67" s="20" t="s">
        <v>86</v>
      </c>
      <c r="G67" s="20" t="s">
        <v>79</v>
      </c>
      <c r="H67" s="20" t="s">
        <v>79</v>
      </c>
      <c r="I67" s="20" t="s">
        <v>79</v>
      </c>
      <c r="J67" s="20" t="s">
        <v>79</v>
      </c>
      <c r="K67" s="20" t="s">
        <v>345</v>
      </c>
      <c r="L67" s="20" t="s">
        <v>79</v>
      </c>
      <c r="M67" s="20" t="s">
        <v>79</v>
      </c>
      <c r="N67" s="21" t="n">
        <f aca="false">COUNTIF(B67:M67,"Yes*")</f>
        <v>3</v>
      </c>
      <c r="O67" s="21" t="str">
        <f aca="false">IF(COUNTIF(B67:M67,"Yes*")=12,"Shared by all",IF(AND(LEFT(B67,3)="Yes",COUNTIF(B67:M67,"Yes*")=1),"Only PageBinder",IF(AND(LEFT(B67,3)="Yes",COUNTIF(B67:M67,"Yes*")=2),"PageBinder and one other",IF(AND(LEFT(B67,3)&lt;&gt;"Yes",COUNTIF(B67:M67,"Yes*")=11),"All except PageBinder",IF(AND(LEFT(B67,3)&lt;&gt;"Yes",COUNTIF(B67:M67,"Yes*")&gt;=9),"Most others, not PageBinder",IF(AND(LEFT(B67,3)="Yes",COUNTIF(B67:M67,"Yes*")&lt;=4),"PageBinder and a few others",""))))))</f>
        <v/>
      </c>
      <c r="P67" s="22"/>
      <c r="Q67" s="23" t="s">
        <v>342</v>
      </c>
      <c r="R67" s="23" t="str">
        <f aca="false">IF(O67="Only PageBinder",COUNTIF(O$5:O67,"Only PageBinder"),"")</f>
        <v/>
      </c>
      <c r="S67" s="23" t="str">
        <f aca="false">IF(O67="PageBinder and one other",COUNTIF(O$5:O67,"PageBinder and one other"),"")</f>
        <v/>
      </c>
      <c r="T67" s="23" t="str">
        <f aca="false">IF(O67="PageBinder and a few others",COUNTIF(O$5:O67,"PageBinder and a few others"),"")</f>
        <v/>
      </c>
      <c r="U67" s="23" t="str">
        <f aca="false">IF(O67="Most others, not PageBinder",COUNTIF(O$5:O67,"Most others, not PageBinder"),"")</f>
        <v/>
      </c>
      <c r="V67" s="23" t="str">
        <f aca="false">IF(O67="All except PageBinder",COUNTIF(O$5:O67,"All except PageBinder"),"")</f>
        <v/>
      </c>
      <c r="W67" s="23" t="str">
        <f aca="false">IF(O67="Shared by all",COUNTIF(O$5:O67,"Shared by all"),"")</f>
        <v/>
      </c>
    </row>
    <row r="68" customFormat="false" ht="15" hidden="false" customHeight="false" outlineLevel="0" collapsed="false">
      <c r="A68" s="19" t="s">
        <v>346</v>
      </c>
      <c r="B68" s="20" t="s">
        <v>79</v>
      </c>
      <c r="C68" s="20" t="s">
        <v>86</v>
      </c>
      <c r="D68" s="20" t="s">
        <v>179</v>
      </c>
      <c r="E68" s="20" t="s">
        <v>79</v>
      </c>
      <c r="F68" s="20" t="s">
        <v>86</v>
      </c>
      <c r="G68" s="20" t="s">
        <v>79</v>
      </c>
      <c r="H68" s="20" t="s">
        <v>79</v>
      </c>
      <c r="I68" s="20" t="s">
        <v>79</v>
      </c>
      <c r="J68" s="20" t="s">
        <v>86</v>
      </c>
      <c r="K68" s="20" t="s">
        <v>86</v>
      </c>
      <c r="L68" s="20" t="s">
        <v>79</v>
      </c>
      <c r="M68" s="20" t="s">
        <v>79</v>
      </c>
      <c r="N68" s="21" t="n">
        <f aca="false">COUNTIF(B68:M68,"Yes*")</f>
        <v>4</v>
      </c>
      <c r="O68" s="21" t="str">
        <f aca="false">IF(COUNTIF(B68:M68,"Yes*")=12,"Shared by all",IF(AND(LEFT(B68,3)="Yes",COUNTIF(B68:M68,"Yes*")=1),"Only PageBinder",IF(AND(LEFT(B68,3)="Yes",COUNTIF(B68:M68,"Yes*")=2),"PageBinder and one other",IF(AND(LEFT(B68,3)&lt;&gt;"Yes",COUNTIF(B68:M68,"Yes*")=11),"All except PageBinder",IF(AND(LEFT(B68,3)&lt;&gt;"Yes",COUNTIF(B68:M68,"Yes*")&gt;=9),"Most others, not PageBinder",IF(AND(LEFT(B68,3)="Yes",COUNTIF(B68:M68,"Yes*")&lt;=4),"PageBinder and a few others",""))))))</f>
        <v/>
      </c>
      <c r="P68" s="22"/>
      <c r="Q68" s="23" t="s">
        <v>342</v>
      </c>
      <c r="R68" s="23" t="str">
        <f aca="false">IF(O68="Only PageBinder",COUNTIF(O$5:O68,"Only PageBinder"),"")</f>
        <v/>
      </c>
      <c r="S68" s="23" t="str">
        <f aca="false">IF(O68="PageBinder and one other",COUNTIF(O$5:O68,"PageBinder and one other"),"")</f>
        <v/>
      </c>
      <c r="T68" s="23" t="str">
        <f aca="false">IF(O68="PageBinder and a few others",COUNTIF(O$5:O68,"PageBinder and a few others"),"")</f>
        <v/>
      </c>
      <c r="U68" s="23" t="str">
        <f aca="false">IF(O68="Most others, not PageBinder",COUNTIF(O$5:O68,"Most others, not PageBinder"),"")</f>
        <v/>
      </c>
      <c r="V68" s="23" t="str">
        <f aca="false">IF(O68="All except PageBinder",COUNTIF(O$5:O68,"All except PageBinder"),"")</f>
        <v/>
      </c>
      <c r="W68" s="23" t="str">
        <f aca="false">IF(O68="Shared by all",COUNTIF(O$5:O68,"Shared by all"),"")</f>
        <v/>
      </c>
    </row>
    <row r="69" customFormat="false" ht="23.85" hidden="false" customHeight="false" outlineLevel="0" collapsed="false">
      <c r="A69" s="19" t="s">
        <v>347</v>
      </c>
      <c r="B69" s="20" t="s">
        <v>79</v>
      </c>
      <c r="C69" s="20" t="s">
        <v>86</v>
      </c>
      <c r="D69" s="20" t="s">
        <v>348</v>
      </c>
      <c r="E69" s="20" t="s">
        <v>348</v>
      </c>
      <c r="F69" s="20" t="s">
        <v>86</v>
      </c>
      <c r="G69" s="20" t="s">
        <v>86</v>
      </c>
      <c r="H69" s="20" t="s">
        <v>86</v>
      </c>
      <c r="I69" s="20" t="s">
        <v>86</v>
      </c>
      <c r="J69" s="20" t="s">
        <v>86</v>
      </c>
      <c r="K69" s="20" t="s">
        <v>86</v>
      </c>
      <c r="L69" s="20" t="s">
        <v>86</v>
      </c>
      <c r="M69" s="20" t="s">
        <v>79</v>
      </c>
      <c r="N69" s="21" t="n">
        <f aca="false">COUNTIF(B69:M69,"Yes*")</f>
        <v>10</v>
      </c>
      <c r="O69" s="21" t="str">
        <f aca="false">IF(COUNTIF(B69:M69,"Yes*")=12,"Shared by all",IF(AND(LEFT(B69,3)="Yes",COUNTIF(B69:M69,"Yes*")=1),"Only PageBinder",IF(AND(LEFT(B69,3)="Yes",COUNTIF(B69:M69,"Yes*")=2),"PageBinder and one other",IF(AND(LEFT(B69,3)&lt;&gt;"Yes",COUNTIF(B69:M69,"Yes*")=11),"All except PageBinder",IF(AND(LEFT(B69,3)&lt;&gt;"Yes",COUNTIF(B69:M69,"Yes*")&gt;=9),"Most others, not PageBinder",IF(AND(LEFT(B69,3)="Yes",COUNTIF(B69:M69,"Yes*")&lt;=4),"PageBinder and a few others",""))))))</f>
        <v>Most others, not PageBinder</v>
      </c>
      <c r="P69" s="22"/>
      <c r="Q69" s="23" t="s">
        <v>342</v>
      </c>
      <c r="R69" s="23" t="str">
        <f aca="false">IF(O69="Only PageBinder",COUNTIF(O$5:O69,"Only PageBinder"),"")</f>
        <v/>
      </c>
      <c r="S69" s="23" t="str">
        <f aca="false">IF(O69="PageBinder and one other",COUNTIF(O$5:O69,"PageBinder and one other"),"")</f>
        <v/>
      </c>
      <c r="T69" s="23" t="str">
        <f aca="false">IF(O69="PageBinder and a few others",COUNTIF(O$5:O69,"PageBinder and a few others"),"")</f>
        <v/>
      </c>
      <c r="U69" s="23" t="n">
        <f aca="false">IF(O69="Most others, not PageBinder",COUNTIF(O$5:O69,"Most others, not PageBinder"),"")</f>
        <v>5</v>
      </c>
      <c r="V69" s="23" t="str">
        <f aca="false">IF(O69="All except PageBinder",COUNTIF(O$5:O69,"All except PageBinder"),"")</f>
        <v/>
      </c>
      <c r="W69" s="23" t="str">
        <f aca="false">IF(O69="Shared by all",COUNTIF(O$5:O69,"Shared by all"),"")</f>
        <v/>
      </c>
    </row>
    <row r="70" customFormat="false" ht="15" hidden="false" customHeight="false" outlineLevel="0" collapsed="false">
      <c r="A70" s="19" t="s">
        <v>349</v>
      </c>
      <c r="B70" s="20" t="s">
        <v>79</v>
      </c>
      <c r="C70" s="20" t="s">
        <v>86</v>
      </c>
      <c r="D70" s="20" t="s">
        <v>350</v>
      </c>
      <c r="E70" s="20" t="s">
        <v>86</v>
      </c>
      <c r="F70" s="20" t="s">
        <v>351</v>
      </c>
      <c r="G70" s="20" t="s">
        <v>352</v>
      </c>
      <c r="H70" s="20" t="s">
        <v>353</v>
      </c>
      <c r="I70" s="20" t="s">
        <v>172</v>
      </c>
      <c r="J70" s="20" t="s">
        <v>354</v>
      </c>
      <c r="K70" s="20" t="s">
        <v>79</v>
      </c>
      <c r="L70" s="20" t="s">
        <v>86</v>
      </c>
      <c r="M70" s="20" t="s">
        <v>355</v>
      </c>
      <c r="N70" s="21" t="n">
        <f aca="false">COUNTIF(B70:M70,"Yes*")</f>
        <v>7</v>
      </c>
      <c r="O70" s="21" t="str">
        <f aca="false">IF(COUNTIF(B70:M70,"Yes*")=12,"Shared by all",IF(AND(LEFT(B70,3)="Yes",COUNTIF(B70:M70,"Yes*")=1),"Only PageBinder",IF(AND(LEFT(B70,3)="Yes",COUNTIF(B70:M70,"Yes*")=2),"PageBinder and one other",IF(AND(LEFT(B70,3)&lt;&gt;"Yes",COUNTIF(B70:M70,"Yes*")=11),"All except PageBinder",IF(AND(LEFT(B70,3)&lt;&gt;"Yes",COUNTIF(B70:M70,"Yes*")&gt;=9),"Most others, not PageBinder",IF(AND(LEFT(B70,3)="Yes",COUNTIF(B70:M70,"Yes*")&lt;=4),"PageBinder and a few others",""))))))</f>
        <v/>
      </c>
      <c r="P70" s="22"/>
      <c r="Q70" s="23" t="s">
        <v>342</v>
      </c>
      <c r="R70" s="23" t="str">
        <f aca="false">IF(O70="Only PageBinder",COUNTIF(O$5:O70,"Only PageBinder"),"")</f>
        <v/>
      </c>
      <c r="S70" s="23" t="str">
        <f aca="false">IF(O70="PageBinder and one other",COUNTIF(O$5:O70,"PageBinder and one other"),"")</f>
        <v/>
      </c>
      <c r="T70" s="23" t="str">
        <f aca="false">IF(O70="PageBinder and a few others",COUNTIF(O$5:O70,"PageBinder and a few others"),"")</f>
        <v/>
      </c>
      <c r="U70" s="23" t="str">
        <f aca="false">IF(O70="Most others, not PageBinder",COUNTIF(O$5:O70,"Most others, not PageBinder"),"")</f>
        <v/>
      </c>
      <c r="V70" s="23" t="str">
        <f aca="false">IF(O70="All except PageBinder",COUNTIF(O$5:O70,"All except PageBinder"),"")</f>
        <v/>
      </c>
      <c r="W70" s="23" t="str">
        <f aca="false">IF(O70="Shared by all",COUNTIF(O$5:O70,"Shared by all"),"")</f>
        <v/>
      </c>
    </row>
    <row r="71" customFormat="false" ht="15" hidden="false" customHeight="false" outlineLevel="0" collapsed="false">
      <c r="A71" s="19" t="s">
        <v>356</v>
      </c>
      <c r="B71" s="20" t="s">
        <v>79</v>
      </c>
      <c r="C71" s="20" t="s">
        <v>86</v>
      </c>
      <c r="D71" s="20" t="s">
        <v>86</v>
      </c>
      <c r="E71" s="20" t="s">
        <v>357</v>
      </c>
      <c r="F71" s="20" t="s">
        <v>86</v>
      </c>
      <c r="G71" s="20" t="s">
        <v>86</v>
      </c>
      <c r="H71" s="20" t="s">
        <v>208</v>
      </c>
      <c r="I71" s="20" t="s">
        <v>208</v>
      </c>
      <c r="J71" s="20" t="s">
        <v>208</v>
      </c>
      <c r="K71" s="20" t="s">
        <v>86</v>
      </c>
      <c r="L71" s="20" t="s">
        <v>79</v>
      </c>
      <c r="M71" s="20" t="s">
        <v>79</v>
      </c>
      <c r="N71" s="21" t="n">
        <f aca="false">COUNTIF(B71:M71,"Yes*")</f>
        <v>5</v>
      </c>
      <c r="O71" s="21" t="str">
        <f aca="false">IF(COUNTIF(B71:M71,"Yes*")=12,"Shared by all",IF(AND(LEFT(B71,3)="Yes",COUNTIF(B71:M71,"Yes*")=1),"Only PageBinder",IF(AND(LEFT(B71,3)="Yes",COUNTIF(B71:M71,"Yes*")=2),"PageBinder and one other",IF(AND(LEFT(B71,3)&lt;&gt;"Yes",COUNTIF(B71:M71,"Yes*")=11),"All except PageBinder",IF(AND(LEFT(B71,3)&lt;&gt;"Yes",COUNTIF(B71:M71,"Yes*")&gt;=9),"Most others, not PageBinder",IF(AND(LEFT(B71,3)="Yes",COUNTIF(B71:M71,"Yes*")&lt;=4),"PageBinder and a few others",""))))))</f>
        <v/>
      </c>
      <c r="P71" s="22"/>
      <c r="Q71" s="23" t="s">
        <v>342</v>
      </c>
      <c r="R71" s="23" t="str">
        <f aca="false">IF(O71="Only PageBinder",COUNTIF(O$5:O71,"Only PageBinder"),"")</f>
        <v/>
      </c>
      <c r="S71" s="23" t="str">
        <f aca="false">IF(O71="PageBinder and one other",COUNTIF(O$5:O71,"PageBinder and one other"),"")</f>
        <v/>
      </c>
      <c r="T71" s="23" t="str">
        <f aca="false">IF(O71="PageBinder and a few others",COUNTIF(O$5:O71,"PageBinder and a few others"),"")</f>
        <v/>
      </c>
      <c r="U71" s="23" t="str">
        <f aca="false">IF(O71="Most others, not PageBinder",COUNTIF(O$5:O71,"Most others, not PageBinder"),"")</f>
        <v/>
      </c>
      <c r="V71" s="23" t="str">
        <f aca="false">IF(O71="All except PageBinder",COUNTIF(O$5:O71,"All except PageBinder"),"")</f>
        <v/>
      </c>
      <c r="W71" s="23" t="str">
        <f aca="false">IF(O71="Shared by all",COUNTIF(O$5:O71,"Shared by all"),"")</f>
        <v/>
      </c>
    </row>
    <row r="72" customFormat="false" ht="15" hidden="false" customHeight="false" outlineLevel="0" collapsed="false">
      <c r="A72" s="19" t="s">
        <v>358</v>
      </c>
      <c r="B72" s="20" t="s">
        <v>79</v>
      </c>
      <c r="C72" s="20" t="s">
        <v>79</v>
      </c>
      <c r="D72" s="20" t="s">
        <v>359</v>
      </c>
      <c r="E72" s="20" t="s">
        <v>79</v>
      </c>
      <c r="F72" s="20" t="s">
        <v>172</v>
      </c>
      <c r="G72" s="20" t="s">
        <v>172</v>
      </c>
      <c r="H72" s="20" t="s">
        <v>86</v>
      </c>
      <c r="I72" s="20" t="s">
        <v>86</v>
      </c>
      <c r="J72" s="20" t="s">
        <v>360</v>
      </c>
      <c r="K72" s="20" t="s">
        <v>79</v>
      </c>
      <c r="L72" s="20" t="s">
        <v>79</v>
      </c>
      <c r="M72" s="20" t="s">
        <v>79</v>
      </c>
      <c r="N72" s="21" t="n">
        <f aca="false">COUNTIF(B72:M72,"Yes*")</f>
        <v>2</v>
      </c>
      <c r="O72" s="21" t="str">
        <f aca="false">IF(COUNTIF(B72:M72,"Yes*")=12,"Shared by all",IF(AND(LEFT(B72,3)="Yes",COUNTIF(B72:M72,"Yes*")=1),"Only PageBinder",IF(AND(LEFT(B72,3)="Yes",COUNTIF(B72:M72,"Yes*")=2),"PageBinder and one other",IF(AND(LEFT(B72,3)&lt;&gt;"Yes",COUNTIF(B72:M72,"Yes*")=11),"All except PageBinder",IF(AND(LEFT(B72,3)&lt;&gt;"Yes",COUNTIF(B72:M72,"Yes*")&gt;=9),"Most others, not PageBinder",IF(AND(LEFT(B72,3)="Yes",COUNTIF(B72:M72,"Yes*")&lt;=4),"PageBinder and a few others",""))))))</f>
        <v/>
      </c>
      <c r="P72" s="22"/>
      <c r="Q72" s="23" t="s">
        <v>342</v>
      </c>
      <c r="R72" s="23" t="str">
        <f aca="false">IF(O72="Only PageBinder",COUNTIF(O$5:O72,"Only PageBinder"),"")</f>
        <v/>
      </c>
      <c r="S72" s="23" t="str">
        <f aca="false">IF(O72="PageBinder and one other",COUNTIF(O$5:O72,"PageBinder and one other"),"")</f>
        <v/>
      </c>
      <c r="T72" s="23" t="str">
        <f aca="false">IF(O72="PageBinder and a few others",COUNTIF(O$5:O72,"PageBinder and a few others"),"")</f>
        <v/>
      </c>
      <c r="U72" s="23" t="str">
        <f aca="false">IF(O72="Most others, not PageBinder",COUNTIF(O$5:O72,"Most others, not PageBinder"),"")</f>
        <v/>
      </c>
      <c r="V72" s="23" t="str">
        <f aca="false">IF(O72="All except PageBinder",COUNTIF(O$5:O72,"All except PageBinder"),"")</f>
        <v/>
      </c>
      <c r="W72" s="23" t="str">
        <f aca="false">IF(O72="Shared by all",COUNTIF(O$5:O72,"Shared by all"),"")</f>
        <v/>
      </c>
    </row>
  </sheetData>
  <autoFilter ref="A4:Q72"/>
  <mergeCells count="1">
    <mergeCell ref="A2:P2"/>
  </mergeCells>
  <conditionalFormatting sqref="B5:M72">
    <cfRule type="expression" priority="2" aboveAverage="0" equalAverage="0" bottom="0" percent="0" rank="0" text="" dxfId="14">
      <formula>LEFT(B5,3)="Yes"</formula>
    </cfRule>
    <cfRule type="expression" priority="3" aboveAverage="0" equalAverage="0" bottom="0" percent="0" rank="0" text="" dxfId="15">
      <formula>OR(LEFT(B5,7)="Partial",LEFT(B5,6)="Plugin",LEFT(B5,4)="Paid")</formula>
    </cfRule>
    <cfRule type="expression" priority="4" aboveAverage="0" equalAverage="0" bottom="0" percent="0" rank="0" text="" dxfId="16">
      <formula>LEFT(B5,2)="No"</formula>
    </cfRule>
    <cfRule type="expression" priority="5" aboveAverage="0" equalAverage="0" bottom="0" percent="0" rank="0" text="" dxfId="17">
      <formula>OR(LEFT(B5,3)="N/A",LEFT(B5,10)="Not stated")</formula>
    </cfRule>
  </conditionalFormatting>
  <conditionalFormatting sqref="O5:O72">
    <cfRule type="expression" priority="6" aboveAverage="0" equalAverage="0" bottom="0" percent="0" rank="0" text="" dxfId="18">
      <formula>O5="Only PageBinder"</formula>
    </cfRule>
    <cfRule type="expression" priority="7" aboveAverage="0" equalAverage="0" bottom="0" percent="0" rank="0" text="" dxfId="19">
      <formula>OR(O5="All except PageBinder",O5="Most others, not PageBinder")</formula>
    </cfRule>
    <cfRule type="expression" priority="8" aboveAverage="0" equalAverage="0" bottom="0" percent="0" rank="0" text="" dxfId="20">
      <formula>O5="Shared by all"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14" min="2" style="0" width="14"/>
  </cols>
  <sheetData>
    <row r="1" customFormat="false" ht="19.7" hidden="false" customHeight="false" outlineLevel="0" collapsed="false">
      <c r="A1" s="1" t="s">
        <v>361</v>
      </c>
    </row>
    <row r="3" customFormat="false" ht="45.75" hidden="false" customHeight="true" outlineLevel="0" collapsed="false">
      <c r="A3" s="6" t="s">
        <v>362</v>
      </c>
      <c r="B3" s="6"/>
      <c r="C3" s="6"/>
      <c r="D3" s="6"/>
      <c r="E3" s="6"/>
      <c r="F3" s="6"/>
      <c r="G3" s="6"/>
      <c r="H3" s="6"/>
    </row>
    <row r="4" customFormat="false" ht="45.75" hidden="false" customHeight="true" outlineLevel="0" collapsed="false">
      <c r="A4" s="6" t="s">
        <v>363</v>
      </c>
      <c r="B4" s="6"/>
      <c r="C4" s="6"/>
      <c r="D4" s="6"/>
      <c r="E4" s="6"/>
      <c r="F4" s="6"/>
      <c r="G4" s="6"/>
      <c r="H4" s="6"/>
    </row>
    <row r="5" customFormat="false" ht="45.75" hidden="false" customHeight="true" outlineLevel="0" collapsed="false">
      <c r="A5" s="6" t="s">
        <v>364</v>
      </c>
      <c r="B5" s="6"/>
      <c r="C5" s="6"/>
      <c r="D5" s="6"/>
      <c r="E5" s="6"/>
      <c r="F5" s="6"/>
      <c r="G5" s="6"/>
      <c r="H5" s="6"/>
    </row>
    <row r="6" customFormat="false" ht="45.75" hidden="false" customHeight="true" outlineLevel="0" collapsed="false">
      <c r="A6" s="6" t="s">
        <v>365</v>
      </c>
      <c r="B6" s="6"/>
      <c r="C6" s="6"/>
      <c r="D6" s="6"/>
      <c r="E6" s="6"/>
      <c r="F6" s="6"/>
      <c r="G6" s="6"/>
      <c r="H6" s="6"/>
    </row>
    <row r="8" customFormat="false" ht="15" hidden="false" customHeight="false" outlineLevel="0" collapsed="false">
      <c r="A8" s="24" t="s">
        <v>366</v>
      </c>
    </row>
    <row r="9" customFormat="false" ht="15" hidden="false" customHeight="false" outlineLevel="0" collapsed="false">
      <c r="A9" s="25" t="s">
        <v>367</v>
      </c>
      <c r="B9" s="26" t="n">
        <f aca="false">COUNTIF(Comparison!$O$5:$O$72,"Only PageBinder")</f>
        <v>4</v>
      </c>
    </row>
    <row r="10" customFormat="false" ht="15" hidden="false" customHeight="false" outlineLevel="0" collapsed="false">
      <c r="A10" s="25" t="s">
        <v>368</v>
      </c>
      <c r="B10" s="26" t="n">
        <f aca="false">COUNTIF(Comparison!$O$5:$O$72,"PageBinder and one other")</f>
        <v>5</v>
      </c>
    </row>
    <row r="11" customFormat="false" ht="15" hidden="false" customHeight="false" outlineLevel="0" collapsed="false">
      <c r="A11" s="25" t="s">
        <v>369</v>
      </c>
      <c r="B11" s="26" t="n">
        <f aca="false">COUNTIF(Comparison!$O$5:$O$72,"PageBinder and a few others")</f>
        <v>4</v>
      </c>
    </row>
    <row r="12" customFormat="false" ht="15" hidden="false" customHeight="false" outlineLevel="0" collapsed="false">
      <c r="A12" s="25" t="s">
        <v>370</v>
      </c>
      <c r="B12" s="26" t="n">
        <f aca="false">COUNTIF(Comparison!$O$5:$O$72,"All except PageBinder")</f>
        <v>0</v>
      </c>
    </row>
    <row r="13" customFormat="false" ht="15" hidden="false" customHeight="false" outlineLevel="0" collapsed="false">
      <c r="A13" s="25" t="s">
        <v>371</v>
      </c>
      <c r="B13" s="26" t="n">
        <f aca="false">COUNTIF(Comparison!$O$5:$O$72,"Most others, not PageBinder")</f>
        <v>5</v>
      </c>
    </row>
    <row r="14" customFormat="false" ht="15" hidden="false" customHeight="false" outlineLevel="0" collapsed="false">
      <c r="A14" s="25" t="s">
        <v>372</v>
      </c>
      <c r="B14" s="26" t="n">
        <f aca="false">COUNTIF(Comparison!$O$5:$O$72,"Shared by all")</f>
        <v>3</v>
      </c>
    </row>
    <row r="16" customFormat="false" ht="15" hidden="false" customHeight="false" outlineLevel="0" collapsed="false">
      <c r="A16" s="24" t="s">
        <v>373</v>
      </c>
    </row>
    <row r="17" customFormat="false" ht="30" hidden="false" customHeight="true" outlineLevel="0" collapsed="false">
      <c r="A17" s="27" t="s">
        <v>28</v>
      </c>
      <c r="B17" s="28" t="s">
        <v>13</v>
      </c>
      <c r="C17" s="29" t="s">
        <v>14</v>
      </c>
      <c r="D17" s="29" t="s">
        <v>15</v>
      </c>
      <c r="E17" s="29" t="s">
        <v>16</v>
      </c>
      <c r="F17" s="29" t="s">
        <v>17</v>
      </c>
      <c r="G17" s="29" t="s">
        <v>18</v>
      </c>
      <c r="H17" s="29" t="s">
        <v>19</v>
      </c>
      <c r="I17" s="29" t="s">
        <v>20</v>
      </c>
      <c r="J17" s="29" t="s">
        <v>21</v>
      </c>
      <c r="K17" s="29" t="s">
        <v>22</v>
      </c>
      <c r="L17" s="29" t="s">
        <v>23</v>
      </c>
      <c r="M17" s="29" t="s">
        <v>24</v>
      </c>
      <c r="N17" s="29" t="s">
        <v>374</v>
      </c>
    </row>
    <row r="18" customFormat="false" ht="15" hidden="false" customHeight="false" outlineLevel="0" collapsed="false">
      <c r="A18" s="3" t="s">
        <v>35</v>
      </c>
      <c r="B18" s="26" t="n">
        <f aca="false">COUNTIFS(Comparison!$Q$5:$Q$72,$A18,Comparison!B$5:B$72,"Yes*")</f>
        <v>2</v>
      </c>
      <c r="C18" s="26" t="n">
        <f aca="false">COUNTIFS(Comparison!$Q$5:$Q$72,$A18,Comparison!C$5:C$72,"Yes*")</f>
        <v>3</v>
      </c>
      <c r="D18" s="26" t="n">
        <f aca="false">COUNTIFS(Comparison!$Q$5:$Q$72,$A18,Comparison!D$5:D$72,"Yes*")</f>
        <v>3</v>
      </c>
      <c r="E18" s="26" t="n">
        <f aca="false">COUNTIFS(Comparison!$Q$5:$Q$72,$A18,Comparison!E$5:E$72,"Yes*")</f>
        <v>3</v>
      </c>
      <c r="F18" s="26" t="n">
        <f aca="false">COUNTIFS(Comparison!$Q$5:$Q$72,$A18,Comparison!F$5:F$72,"Yes*")</f>
        <v>2</v>
      </c>
      <c r="G18" s="26" t="n">
        <f aca="false">COUNTIFS(Comparison!$Q$5:$Q$72,$A18,Comparison!G$5:G$72,"Yes*")</f>
        <v>3</v>
      </c>
      <c r="H18" s="26" t="n">
        <f aca="false">COUNTIFS(Comparison!$Q$5:$Q$72,$A18,Comparison!H$5:H$72,"Yes*")</f>
        <v>3</v>
      </c>
      <c r="I18" s="26" t="n">
        <f aca="false">COUNTIFS(Comparison!$Q$5:$Q$72,$A18,Comparison!I$5:I$72,"Yes*")</f>
        <v>3</v>
      </c>
      <c r="J18" s="26" t="n">
        <f aca="false">COUNTIFS(Comparison!$Q$5:$Q$72,$A18,Comparison!J$5:J$72,"Yes*")</f>
        <v>3</v>
      </c>
      <c r="K18" s="26" t="n">
        <f aca="false">COUNTIFS(Comparison!$Q$5:$Q$72,$A18,Comparison!K$5:K$72,"Yes*")</f>
        <v>2</v>
      </c>
      <c r="L18" s="26" t="n">
        <f aca="false">COUNTIFS(Comparison!$Q$5:$Q$72,$A18,Comparison!L$5:L$72,"Yes*")</f>
        <v>2</v>
      </c>
      <c r="M18" s="26" t="n">
        <f aca="false">COUNTIFS(Comparison!$Q$5:$Q$72,$A18,Comparison!M$5:M$72,"Yes*")</f>
        <v>2</v>
      </c>
      <c r="N18" s="30" t="n">
        <f aca="false">COUNTIF(Comparison!$Q$5:$Q$72,$A18)-1</f>
        <v>7</v>
      </c>
    </row>
    <row r="19" customFormat="false" ht="15" hidden="false" customHeight="false" outlineLevel="0" collapsed="false">
      <c r="A19" s="3" t="s">
        <v>100</v>
      </c>
      <c r="B19" s="26" t="n">
        <f aca="false">COUNTIFS(Comparison!$Q$5:$Q$72,$A19,Comparison!B$5:B$72,"Yes*")</f>
        <v>6</v>
      </c>
      <c r="C19" s="26" t="n">
        <f aca="false">COUNTIFS(Comparison!$Q$5:$Q$72,$A19,Comparison!C$5:C$72,"Yes*")</f>
        <v>2</v>
      </c>
      <c r="D19" s="26" t="n">
        <f aca="false">COUNTIFS(Comparison!$Q$5:$Q$72,$A19,Comparison!D$5:D$72,"Yes*")</f>
        <v>6</v>
      </c>
      <c r="E19" s="26" t="n">
        <f aca="false">COUNTIFS(Comparison!$Q$5:$Q$72,$A19,Comparison!E$5:E$72,"Yes*")</f>
        <v>5</v>
      </c>
      <c r="F19" s="26" t="n">
        <f aca="false">COUNTIFS(Comparison!$Q$5:$Q$72,$A19,Comparison!F$5:F$72,"Yes*")</f>
        <v>1</v>
      </c>
      <c r="G19" s="26" t="n">
        <f aca="false">COUNTIFS(Comparison!$Q$5:$Q$72,$A19,Comparison!G$5:G$72,"Yes*")</f>
        <v>5</v>
      </c>
      <c r="H19" s="26" t="n">
        <f aca="false">COUNTIFS(Comparison!$Q$5:$Q$72,$A19,Comparison!H$5:H$72,"Yes*")</f>
        <v>1</v>
      </c>
      <c r="I19" s="26" t="n">
        <f aca="false">COUNTIFS(Comparison!$Q$5:$Q$72,$A19,Comparison!I$5:I$72,"Yes*")</f>
        <v>1</v>
      </c>
      <c r="J19" s="26" t="n">
        <f aca="false">COUNTIFS(Comparison!$Q$5:$Q$72,$A19,Comparison!J$5:J$72,"Yes*")</f>
        <v>1</v>
      </c>
      <c r="K19" s="26" t="n">
        <f aca="false">COUNTIFS(Comparison!$Q$5:$Q$72,$A19,Comparison!K$5:K$72,"Yes*")</f>
        <v>1</v>
      </c>
      <c r="L19" s="26" t="n">
        <f aca="false">COUNTIFS(Comparison!$Q$5:$Q$72,$A19,Comparison!L$5:L$72,"Yes*")</f>
        <v>6</v>
      </c>
      <c r="M19" s="26" t="n">
        <f aca="false">COUNTIFS(Comparison!$Q$5:$Q$72,$A19,Comparison!M$5:M$72,"Yes*")</f>
        <v>2</v>
      </c>
      <c r="N19" s="30" t="n">
        <f aca="false">COUNTIF(Comparison!$Q$5:$Q$72,$A19)-1</f>
        <v>7</v>
      </c>
    </row>
    <row r="20" customFormat="false" ht="15" hidden="false" customHeight="false" outlineLevel="0" collapsed="false">
      <c r="A20" s="3" t="s">
        <v>156</v>
      </c>
      <c r="B20" s="26" t="n">
        <f aca="false">COUNTIFS(Comparison!$Q$5:$Q$72,$A20,Comparison!B$5:B$72,"Yes*")</f>
        <v>0</v>
      </c>
      <c r="C20" s="26" t="n">
        <f aca="false">COUNTIFS(Comparison!$Q$5:$Q$72,$A20,Comparison!C$5:C$72,"Yes*")</f>
        <v>1</v>
      </c>
      <c r="D20" s="26" t="n">
        <f aca="false">COUNTIFS(Comparison!$Q$5:$Q$72,$A20,Comparison!D$5:D$72,"Yes*")</f>
        <v>3</v>
      </c>
      <c r="E20" s="26" t="n">
        <f aca="false">COUNTIFS(Comparison!$Q$5:$Q$72,$A20,Comparison!E$5:E$72,"Yes*")</f>
        <v>4</v>
      </c>
      <c r="F20" s="26" t="n">
        <f aca="false">COUNTIFS(Comparison!$Q$5:$Q$72,$A20,Comparison!F$5:F$72,"Yes*")</f>
        <v>3</v>
      </c>
      <c r="G20" s="26" t="n">
        <f aca="false">COUNTIFS(Comparison!$Q$5:$Q$72,$A20,Comparison!G$5:G$72,"Yes*")</f>
        <v>4</v>
      </c>
      <c r="H20" s="26" t="n">
        <f aca="false">COUNTIFS(Comparison!$Q$5:$Q$72,$A20,Comparison!H$5:H$72,"Yes*")</f>
        <v>2</v>
      </c>
      <c r="I20" s="26" t="n">
        <f aca="false">COUNTIFS(Comparison!$Q$5:$Q$72,$A20,Comparison!I$5:I$72,"Yes*")</f>
        <v>0</v>
      </c>
      <c r="J20" s="26" t="n">
        <f aca="false">COUNTIFS(Comparison!$Q$5:$Q$72,$A20,Comparison!J$5:J$72,"Yes*")</f>
        <v>4</v>
      </c>
      <c r="K20" s="26" t="n">
        <f aca="false">COUNTIFS(Comparison!$Q$5:$Q$72,$A20,Comparison!K$5:K$72,"Yes*")</f>
        <v>1</v>
      </c>
      <c r="L20" s="26" t="n">
        <f aca="false">COUNTIFS(Comparison!$Q$5:$Q$72,$A20,Comparison!L$5:L$72,"Yes*")</f>
        <v>2</v>
      </c>
      <c r="M20" s="26" t="n">
        <f aca="false">COUNTIFS(Comparison!$Q$5:$Q$72,$A20,Comparison!M$5:M$72,"Yes*")</f>
        <v>0</v>
      </c>
      <c r="N20" s="30" t="n">
        <f aca="false">COUNTIF(Comparison!$Q$5:$Q$72,$A20)-1</f>
        <v>5</v>
      </c>
    </row>
    <row r="21" customFormat="false" ht="15" hidden="false" customHeight="false" outlineLevel="0" collapsed="false">
      <c r="A21" s="3" t="s">
        <v>183</v>
      </c>
      <c r="B21" s="26" t="n">
        <f aca="false">COUNTIFS(Comparison!$Q$5:$Q$72,$A21,Comparison!B$5:B$72,"Yes*")</f>
        <v>9</v>
      </c>
      <c r="C21" s="26" t="n">
        <f aca="false">COUNTIFS(Comparison!$Q$5:$Q$72,$A21,Comparison!C$5:C$72,"Yes*")</f>
        <v>5</v>
      </c>
      <c r="D21" s="26" t="n">
        <f aca="false">COUNTIFS(Comparison!$Q$5:$Q$72,$A21,Comparison!D$5:D$72,"Yes*")</f>
        <v>6</v>
      </c>
      <c r="E21" s="26" t="n">
        <f aca="false">COUNTIFS(Comparison!$Q$5:$Q$72,$A21,Comparison!E$5:E$72,"Yes*")</f>
        <v>6</v>
      </c>
      <c r="F21" s="26" t="n">
        <f aca="false">COUNTIFS(Comparison!$Q$5:$Q$72,$A21,Comparison!F$5:F$72,"Yes*")</f>
        <v>9</v>
      </c>
      <c r="G21" s="26" t="n">
        <f aca="false">COUNTIFS(Comparison!$Q$5:$Q$72,$A21,Comparison!G$5:G$72,"Yes*")</f>
        <v>6</v>
      </c>
      <c r="H21" s="26" t="n">
        <f aca="false">COUNTIFS(Comparison!$Q$5:$Q$72,$A21,Comparison!H$5:H$72,"Yes*")</f>
        <v>9</v>
      </c>
      <c r="I21" s="26" t="n">
        <f aca="false">COUNTIFS(Comparison!$Q$5:$Q$72,$A21,Comparison!I$5:I$72,"Yes*")</f>
        <v>6</v>
      </c>
      <c r="J21" s="26" t="n">
        <f aca="false">COUNTIFS(Comparison!$Q$5:$Q$72,$A21,Comparison!J$5:J$72,"Yes*")</f>
        <v>5</v>
      </c>
      <c r="K21" s="26" t="n">
        <f aca="false">COUNTIFS(Comparison!$Q$5:$Q$72,$A21,Comparison!K$5:K$72,"Yes*")</f>
        <v>5</v>
      </c>
      <c r="L21" s="26" t="n">
        <f aca="false">COUNTIFS(Comparison!$Q$5:$Q$72,$A21,Comparison!L$5:L$72,"Yes*")</f>
        <v>3</v>
      </c>
      <c r="M21" s="26" t="n">
        <f aca="false">COUNTIFS(Comparison!$Q$5:$Q$72,$A21,Comparison!M$5:M$72,"Yes*")</f>
        <v>7</v>
      </c>
      <c r="N21" s="30" t="n">
        <f aca="false">COUNTIF(Comparison!$Q$5:$Q$72,$A21)-1</f>
        <v>13</v>
      </c>
    </row>
    <row r="22" customFormat="false" ht="15" hidden="false" customHeight="false" outlineLevel="0" collapsed="false">
      <c r="A22" s="3" t="s">
        <v>242</v>
      </c>
      <c r="B22" s="26" t="n">
        <f aca="false">COUNTIFS(Comparison!$Q$5:$Q$72,$A22,Comparison!B$5:B$72,"Yes*")</f>
        <v>6</v>
      </c>
      <c r="C22" s="26" t="n">
        <f aca="false">COUNTIFS(Comparison!$Q$5:$Q$72,$A22,Comparison!C$5:C$72,"Yes*")</f>
        <v>3</v>
      </c>
      <c r="D22" s="26" t="n">
        <f aca="false">COUNTIFS(Comparison!$Q$5:$Q$72,$A22,Comparison!D$5:D$72,"Yes*")</f>
        <v>2</v>
      </c>
      <c r="E22" s="26" t="n">
        <f aca="false">COUNTIFS(Comparison!$Q$5:$Q$72,$A22,Comparison!E$5:E$72,"Yes*")</f>
        <v>2</v>
      </c>
      <c r="F22" s="26" t="n">
        <f aca="false">COUNTIFS(Comparison!$Q$5:$Q$72,$A22,Comparison!F$5:F$72,"Yes*")</f>
        <v>3</v>
      </c>
      <c r="G22" s="26" t="n">
        <f aca="false">COUNTIFS(Comparison!$Q$5:$Q$72,$A22,Comparison!G$5:G$72,"Yes*")</f>
        <v>3</v>
      </c>
      <c r="H22" s="26" t="n">
        <f aca="false">COUNTIFS(Comparison!$Q$5:$Q$72,$A22,Comparison!H$5:H$72,"Yes*")</f>
        <v>3</v>
      </c>
      <c r="I22" s="26" t="n">
        <f aca="false">COUNTIFS(Comparison!$Q$5:$Q$72,$A22,Comparison!I$5:I$72,"Yes*")</f>
        <v>1</v>
      </c>
      <c r="J22" s="26" t="n">
        <f aca="false">COUNTIFS(Comparison!$Q$5:$Q$72,$A22,Comparison!J$5:J$72,"Yes*")</f>
        <v>2</v>
      </c>
      <c r="K22" s="26" t="n">
        <f aca="false">COUNTIFS(Comparison!$Q$5:$Q$72,$A22,Comparison!K$5:K$72,"Yes*")</f>
        <v>3</v>
      </c>
      <c r="L22" s="26" t="n">
        <f aca="false">COUNTIFS(Comparison!$Q$5:$Q$72,$A22,Comparison!L$5:L$72,"Yes*")</f>
        <v>2</v>
      </c>
      <c r="M22" s="26" t="n">
        <f aca="false">COUNTIFS(Comparison!$Q$5:$Q$72,$A22,Comparison!M$5:M$72,"Yes*")</f>
        <v>4</v>
      </c>
      <c r="N22" s="30" t="n">
        <f aca="false">COUNTIF(Comparison!$Q$5:$Q$72,$A22)-1</f>
        <v>7</v>
      </c>
    </row>
    <row r="23" customFormat="false" ht="15" hidden="false" customHeight="false" outlineLevel="0" collapsed="false">
      <c r="A23" s="3" t="s">
        <v>275</v>
      </c>
      <c r="B23" s="26" t="n">
        <f aca="false">COUNTIFS(Comparison!$Q$5:$Q$72,$A23,Comparison!B$5:B$72,"Yes*")</f>
        <v>3</v>
      </c>
      <c r="C23" s="26" t="n">
        <f aca="false">COUNTIFS(Comparison!$Q$5:$Q$72,$A23,Comparison!C$5:C$72,"Yes*")</f>
        <v>3</v>
      </c>
      <c r="D23" s="26" t="n">
        <f aca="false">COUNTIFS(Comparison!$Q$5:$Q$72,$A23,Comparison!D$5:D$72,"Yes*")</f>
        <v>2</v>
      </c>
      <c r="E23" s="26" t="n">
        <f aca="false">COUNTIFS(Comparison!$Q$5:$Q$72,$A23,Comparison!E$5:E$72,"Yes*")</f>
        <v>2</v>
      </c>
      <c r="F23" s="26" t="n">
        <f aca="false">COUNTIFS(Comparison!$Q$5:$Q$72,$A23,Comparison!F$5:F$72,"Yes*")</f>
        <v>3</v>
      </c>
      <c r="G23" s="26" t="n">
        <f aca="false">COUNTIFS(Comparison!$Q$5:$Q$72,$A23,Comparison!G$5:G$72,"Yes*")</f>
        <v>3</v>
      </c>
      <c r="H23" s="26" t="n">
        <f aca="false">COUNTIFS(Comparison!$Q$5:$Q$72,$A23,Comparison!H$5:H$72,"Yes*")</f>
        <v>2</v>
      </c>
      <c r="I23" s="26" t="n">
        <f aca="false">COUNTIFS(Comparison!$Q$5:$Q$72,$A23,Comparison!I$5:I$72,"Yes*")</f>
        <v>2</v>
      </c>
      <c r="J23" s="26" t="n">
        <f aca="false">COUNTIFS(Comparison!$Q$5:$Q$72,$A23,Comparison!J$5:J$72,"Yes*")</f>
        <v>2</v>
      </c>
      <c r="K23" s="26" t="n">
        <f aca="false">COUNTIFS(Comparison!$Q$5:$Q$72,$A23,Comparison!K$5:K$72,"Yes*")</f>
        <v>2</v>
      </c>
      <c r="L23" s="26" t="n">
        <f aca="false">COUNTIFS(Comparison!$Q$5:$Q$72,$A23,Comparison!L$5:L$72,"Yes*")</f>
        <v>1</v>
      </c>
      <c r="M23" s="26" t="n">
        <f aca="false">COUNTIFS(Comparison!$Q$5:$Q$72,$A23,Comparison!M$5:M$72,"Yes*")</f>
        <v>0</v>
      </c>
      <c r="N23" s="30" t="n">
        <f aca="false">COUNTIF(Comparison!$Q$5:$Q$72,$A23)-1</f>
        <v>4</v>
      </c>
    </row>
    <row r="24" customFormat="false" ht="15" hidden="false" customHeight="false" outlineLevel="0" collapsed="false">
      <c r="A24" s="3" t="s">
        <v>293</v>
      </c>
      <c r="B24" s="26" t="n">
        <f aca="false">COUNTIFS(Comparison!$Q$5:$Q$72,$A24,Comparison!B$5:B$72,"Yes*")</f>
        <v>5</v>
      </c>
      <c r="C24" s="26" t="n">
        <f aca="false">COUNTIFS(Comparison!$Q$5:$Q$72,$A24,Comparison!C$5:C$72,"Yes*")</f>
        <v>3</v>
      </c>
      <c r="D24" s="26" t="n">
        <f aca="false">COUNTIFS(Comparison!$Q$5:$Q$72,$A24,Comparison!D$5:D$72,"Yes*")</f>
        <v>1</v>
      </c>
      <c r="E24" s="26" t="n">
        <f aca="false">COUNTIFS(Comparison!$Q$5:$Q$72,$A24,Comparison!E$5:E$72,"Yes*")</f>
        <v>2</v>
      </c>
      <c r="F24" s="26" t="n">
        <f aca="false">COUNTIFS(Comparison!$Q$5:$Q$72,$A24,Comparison!F$5:F$72,"Yes*")</f>
        <v>2</v>
      </c>
      <c r="G24" s="26" t="n">
        <f aca="false">COUNTIFS(Comparison!$Q$5:$Q$72,$A24,Comparison!G$5:G$72,"Yes*")</f>
        <v>3</v>
      </c>
      <c r="H24" s="26" t="n">
        <f aca="false">COUNTIFS(Comparison!$Q$5:$Q$72,$A24,Comparison!H$5:H$72,"Yes*")</f>
        <v>2</v>
      </c>
      <c r="I24" s="26" t="n">
        <f aca="false">COUNTIFS(Comparison!$Q$5:$Q$72,$A24,Comparison!I$5:I$72,"Yes*")</f>
        <v>2</v>
      </c>
      <c r="J24" s="26" t="n">
        <f aca="false">COUNTIFS(Comparison!$Q$5:$Q$72,$A24,Comparison!J$5:J$72,"Yes*")</f>
        <v>3</v>
      </c>
      <c r="K24" s="26" t="n">
        <f aca="false">COUNTIFS(Comparison!$Q$5:$Q$72,$A24,Comparison!K$5:K$72,"Yes*")</f>
        <v>3</v>
      </c>
      <c r="L24" s="26" t="n">
        <f aca="false">COUNTIFS(Comparison!$Q$5:$Q$72,$A24,Comparison!L$5:L$72,"Yes*")</f>
        <v>1</v>
      </c>
      <c r="M24" s="26" t="n">
        <f aca="false">COUNTIFS(Comparison!$Q$5:$Q$72,$A24,Comparison!M$5:M$72,"Yes*")</f>
        <v>0</v>
      </c>
      <c r="N24" s="30" t="n">
        <f aca="false">COUNTIF(Comparison!$Q$5:$Q$72,$A24)-1</f>
        <v>5</v>
      </c>
    </row>
    <row r="25" customFormat="false" ht="15" hidden="false" customHeight="false" outlineLevel="0" collapsed="false">
      <c r="A25" s="3" t="s">
        <v>314</v>
      </c>
      <c r="B25" s="26" t="n">
        <f aca="false">COUNTIFS(Comparison!$Q$5:$Q$72,$A25,Comparison!B$5:B$72,"Yes*")</f>
        <v>0</v>
      </c>
      <c r="C25" s="26" t="n">
        <f aca="false">COUNTIFS(Comparison!$Q$5:$Q$72,$A25,Comparison!C$5:C$72,"Yes*")</f>
        <v>3</v>
      </c>
      <c r="D25" s="26" t="n">
        <f aca="false">COUNTIFS(Comparison!$Q$5:$Q$72,$A25,Comparison!D$5:D$72,"Yes*")</f>
        <v>1</v>
      </c>
      <c r="E25" s="26" t="n">
        <f aca="false">COUNTIFS(Comparison!$Q$5:$Q$72,$A25,Comparison!E$5:E$72,"Yes*")</f>
        <v>1</v>
      </c>
      <c r="F25" s="26" t="n">
        <f aca="false">COUNTIFS(Comparison!$Q$5:$Q$72,$A25,Comparison!F$5:F$72,"Yes*")</f>
        <v>2</v>
      </c>
      <c r="G25" s="26" t="n">
        <f aca="false">COUNTIFS(Comparison!$Q$5:$Q$72,$A25,Comparison!G$5:G$72,"Yes*")</f>
        <v>2</v>
      </c>
      <c r="H25" s="26" t="n">
        <f aca="false">COUNTIFS(Comparison!$Q$5:$Q$72,$A25,Comparison!H$5:H$72,"Yes*")</f>
        <v>3</v>
      </c>
      <c r="I25" s="26" t="n">
        <f aca="false">COUNTIFS(Comparison!$Q$5:$Q$72,$A25,Comparison!I$5:I$72,"Yes*")</f>
        <v>3</v>
      </c>
      <c r="J25" s="26" t="n">
        <f aca="false">COUNTIFS(Comparison!$Q$5:$Q$72,$A25,Comparison!J$5:J$72,"Yes*")</f>
        <v>5</v>
      </c>
      <c r="K25" s="26" t="n">
        <f aca="false">COUNTIFS(Comparison!$Q$5:$Q$72,$A25,Comparison!K$5:K$72,"Yes*")</f>
        <v>3</v>
      </c>
      <c r="L25" s="26" t="n">
        <f aca="false">COUNTIFS(Comparison!$Q$5:$Q$72,$A25,Comparison!L$5:L$72,"Yes*")</f>
        <v>0</v>
      </c>
      <c r="M25" s="26" t="n">
        <f aca="false">COUNTIFS(Comparison!$Q$5:$Q$72,$A25,Comparison!M$5:M$72,"Yes*")</f>
        <v>0</v>
      </c>
      <c r="N25" s="30" t="n">
        <f aca="false">COUNTIF(Comparison!$Q$5:$Q$72,$A25)-1</f>
        <v>5</v>
      </c>
    </row>
    <row r="26" customFormat="false" ht="15" hidden="false" customHeight="false" outlineLevel="0" collapsed="false">
      <c r="A26" s="3" t="s">
        <v>342</v>
      </c>
      <c r="B26" s="26" t="n">
        <f aca="false">COUNTIFS(Comparison!$Q$5:$Q$72,$A26,Comparison!B$5:B$72,"Yes*")</f>
        <v>0</v>
      </c>
      <c r="C26" s="26" t="n">
        <f aca="false">COUNTIFS(Comparison!$Q$5:$Q$72,$A26,Comparison!C$5:C$72,"Yes*")</f>
        <v>5</v>
      </c>
      <c r="D26" s="26" t="n">
        <f aca="false">COUNTIFS(Comparison!$Q$5:$Q$72,$A26,Comparison!D$5:D$72,"Yes*")</f>
        <v>3</v>
      </c>
      <c r="E26" s="26" t="n">
        <f aca="false">COUNTIFS(Comparison!$Q$5:$Q$72,$A26,Comparison!E$5:E$72,"Yes*")</f>
        <v>2</v>
      </c>
      <c r="F26" s="26" t="n">
        <f aca="false">COUNTIFS(Comparison!$Q$5:$Q$72,$A26,Comparison!F$5:F$72,"Yes*")</f>
        <v>5</v>
      </c>
      <c r="G26" s="26" t="n">
        <f aca="false">COUNTIFS(Comparison!$Q$5:$Q$72,$A26,Comparison!G$5:G$72,"Yes*")</f>
        <v>3</v>
      </c>
      <c r="H26" s="26" t="n">
        <f aca="false">COUNTIFS(Comparison!$Q$5:$Q$72,$A26,Comparison!H$5:H$72,"Yes*")</f>
        <v>2</v>
      </c>
      <c r="I26" s="26" t="n">
        <f aca="false">COUNTIFS(Comparison!$Q$5:$Q$72,$A26,Comparison!I$5:I$72,"Yes*")</f>
        <v>2</v>
      </c>
      <c r="J26" s="26" t="n">
        <f aca="false">COUNTIFS(Comparison!$Q$5:$Q$72,$A26,Comparison!J$5:J$72,"Yes*")</f>
        <v>2</v>
      </c>
      <c r="K26" s="26" t="n">
        <f aca="false">COUNTIFS(Comparison!$Q$5:$Q$72,$A26,Comparison!K$5:K$72,"Yes*")</f>
        <v>4</v>
      </c>
      <c r="L26" s="26" t="n">
        <f aca="false">COUNTIFS(Comparison!$Q$5:$Q$72,$A26,Comparison!L$5:L$72,"Yes*")</f>
        <v>2</v>
      </c>
      <c r="M26" s="26" t="n">
        <f aca="false">COUNTIFS(Comparison!$Q$5:$Q$72,$A26,Comparison!M$5:M$72,"Yes*")</f>
        <v>1</v>
      </c>
      <c r="N26" s="30" t="n">
        <f aca="false">COUNTIF(Comparison!$Q$5:$Q$72,$A26)-1</f>
        <v>6</v>
      </c>
    </row>
    <row r="27" customFormat="false" ht="15" hidden="false" customHeight="false" outlineLevel="0" collapsed="false">
      <c r="A27" s="3" t="s">
        <v>375</v>
      </c>
      <c r="B27" s="31" t="n">
        <f aca="false">SUM(B18:B26)</f>
        <v>31</v>
      </c>
      <c r="C27" s="31" t="n">
        <f aca="false">SUM(C18:C26)</f>
        <v>28</v>
      </c>
      <c r="D27" s="31" t="n">
        <f aca="false">SUM(D18:D26)</f>
        <v>27</v>
      </c>
      <c r="E27" s="31" t="n">
        <f aca="false">SUM(E18:E26)</f>
        <v>27</v>
      </c>
      <c r="F27" s="31" t="n">
        <f aca="false">SUM(F18:F26)</f>
        <v>30</v>
      </c>
      <c r="G27" s="31" t="n">
        <f aca="false">SUM(G18:G26)</f>
        <v>32</v>
      </c>
      <c r="H27" s="31" t="n">
        <f aca="false">SUM(H18:H26)</f>
        <v>27</v>
      </c>
      <c r="I27" s="31" t="n">
        <f aca="false">SUM(I18:I26)</f>
        <v>20</v>
      </c>
      <c r="J27" s="31" t="n">
        <f aca="false">SUM(J18:J26)</f>
        <v>27</v>
      </c>
      <c r="K27" s="31" t="n">
        <f aca="false">SUM(K18:K26)</f>
        <v>24</v>
      </c>
      <c r="L27" s="31" t="n">
        <f aca="false">SUM(L18:L26)</f>
        <v>19</v>
      </c>
      <c r="M27" s="31" t="n">
        <f aca="false">SUM(M18:M26)</f>
        <v>16</v>
      </c>
      <c r="N27" s="31" t="n">
        <f aca="false">SUM(N18:N26)</f>
        <v>59</v>
      </c>
    </row>
    <row r="29" customFormat="false" ht="15" hidden="false" customHeight="false" outlineLevel="0" collapsed="false">
      <c r="A29" s="23" t="s">
        <v>376</v>
      </c>
    </row>
  </sheetData>
  <mergeCells count="4">
    <mergeCell ref="A3:H3"/>
    <mergeCell ref="A4:H4"/>
    <mergeCell ref="A5:H5"/>
    <mergeCell ref="A6:H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3" min="2" style="0" width="70"/>
  </cols>
  <sheetData>
    <row r="1" customFormat="false" ht="19.7" hidden="false" customHeight="false" outlineLevel="0" collapsed="false">
      <c r="A1" s="1" t="s">
        <v>377</v>
      </c>
    </row>
    <row r="2" customFormat="false" ht="39.75" hidden="false" customHeight="true" outlineLevel="0" collapsed="false">
      <c r="A2" s="2" t="s">
        <v>378</v>
      </c>
      <c r="B2" s="2"/>
      <c r="C2" s="2"/>
    </row>
    <row r="4" customFormat="false" ht="15" hidden="false" customHeight="false" outlineLevel="0" collapsed="false">
      <c r="A4" s="32" t="s">
        <v>379</v>
      </c>
      <c r="B4" s="32" t="s">
        <v>380</v>
      </c>
      <c r="C4" s="32" t="s">
        <v>381</v>
      </c>
    </row>
    <row r="5" customFormat="false" ht="35.05" hidden="false" customHeight="false" outlineLevel="0" collapsed="false">
      <c r="A5" s="19" t="s">
        <v>13</v>
      </c>
      <c r="B5" s="20" t="s">
        <v>382</v>
      </c>
      <c r="C5" s="20" t="s">
        <v>383</v>
      </c>
    </row>
    <row r="6" customFormat="false" ht="35.05" hidden="false" customHeight="false" outlineLevel="0" collapsed="false">
      <c r="A6" s="19" t="s">
        <v>14</v>
      </c>
      <c r="B6" s="20" t="s">
        <v>384</v>
      </c>
      <c r="C6" s="20" t="s">
        <v>385</v>
      </c>
    </row>
    <row r="7" customFormat="false" ht="35.05" hidden="false" customHeight="false" outlineLevel="0" collapsed="false">
      <c r="A7" s="19" t="s">
        <v>15</v>
      </c>
      <c r="B7" s="20" t="s">
        <v>386</v>
      </c>
      <c r="C7" s="20" t="s">
        <v>387</v>
      </c>
    </row>
    <row r="8" customFormat="false" ht="46.25" hidden="false" customHeight="false" outlineLevel="0" collapsed="false">
      <c r="A8" s="19" t="s">
        <v>16</v>
      </c>
      <c r="B8" s="20" t="s">
        <v>388</v>
      </c>
      <c r="C8" s="20" t="s">
        <v>389</v>
      </c>
    </row>
    <row r="9" customFormat="false" ht="35.05" hidden="false" customHeight="false" outlineLevel="0" collapsed="false">
      <c r="A9" s="19" t="s">
        <v>17</v>
      </c>
      <c r="B9" s="20" t="s">
        <v>390</v>
      </c>
      <c r="C9" s="20" t="s">
        <v>391</v>
      </c>
    </row>
    <row r="10" customFormat="false" ht="35.05" hidden="false" customHeight="false" outlineLevel="0" collapsed="false">
      <c r="A10" s="19" t="s">
        <v>18</v>
      </c>
      <c r="B10" s="20" t="s">
        <v>392</v>
      </c>
      <c r="C10" s="20" t="s">
        <v>393</v>
      </c>
    </row>
    <row r="11" customFormat="false" ht="35.05" hidden="false" customHeight="false" outlineLevel="0" collapsed="false">
      <c r="A11" s="19" t="s">
        <v>19</v>
      </c>
      <c r="B11" s="20" t="s">
        <v>394</v>
      </c>
      <c r="C11" s="20" t="s">
        <v>395</v>
      </c>
    </row>
    <row r="12" customFormat="false" ht="23.85" hidden="false" customHeight="false" outlineLevel="0" collapsed="false">
      <c r="A12" s="19" t="s">
        <v>20</v>
      </c>
      <c r="B12" s="20" t="s">
        <v>396</v>
      </c>
      <c r="C12" s="20" t="s">
        <v>397</v>
      </c>
    </row>
    <row r="13" customFormat="false" ht="35.05" hidden="false" customHeight="false" outlineLevel="0" collapsed="false">
      <c r="A13" s="19" t="s">
        <v>21</v>
      </c>
      <c r="B13" s="20" t="s">
        <v>398</v>
      </c>
      <c r="C13" s="20" t="s">
        <v>399</v>
      </c>
    </row>
    <row r="14" customFormat="false" ht="35.05" hidden="false" customHeight="false" outlineLevel="0" collapsed="false">
      <c r="A14" s="19" t="s">
        <v>22</v>
      </c>
      <c r="B14" s="20" t="s">
        <v>400</v>
      </c>
      <c r="C14" s="20" t="s">
        <v>401</v>
      </c>
    </row>
    <row r="15" customFormat="false" ht="35.05" hidden="false" customHeight="false" outlineLevel="0" collapsed="false">
      <c r="A15" s="19" t="s">
        <v>23</v>
      </c>
      <c r="B15" s="20" t="s">
        <v>402</v>
      </c>
      <c r="C15" s="20" t="s">
        <v>403</v>
      </c>
    </row>
    <row r="16" customFormat="false" ht="23.85" hidden="false" customHeight="false" outlineLevel="0" collapsed="false">
      <c r="A16" s="19" t="s">
        <v>24</v>
      </c>
      <c r="B16" s="20" t="s">
        <v>404</v>
      </c>
      <c r="C16" s="20" t="s">
        <v>405</v>
      </c>
    </row>
  </sheetData>
  <mergeCells count="1">
    <mergeCell ref="A2:C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2026-09-25T21:58:17Z</dcterms:created>
  <dc:creator>openpyxl</dc:creator>
  <dc:description/>
  <dc:language>en-US</dc:language>
  <cp:lastModifiedBy/>
  <dcterms:modified xsi:type="dcterms:W3CDTF">2026-09-25T21:58:17Z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